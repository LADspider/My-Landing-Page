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Intern\New folder\"/>
    </mc:Choice>
  </mc:AlternateContent>
  <xr:revisionPtr revIDLastSave="0" documentId="8_{C4F75165-1B25-49BC-8793-1E11C470477F}" xr6:coauthVersionLast="47" xr6:coauthVersionMax="47" xr10:uidLastSave="{00000000-0000-0000-0000-000000000000}"/>
  <bookViews>
    <workbookView xWindow="-120" yWindow="-120" windowWidth="20730" windowHeight="11160" activeTab="3" xr2:uid="{00000000-000D-0000-FFFF-FFFF00000000}"/>
  </bookViews>
  <sheets>
    <sheet name="Tóm tắt profile" sheetId="18" r:id="rId1"/>
    <sheet name="Trọng tâm triển khai" sheetId="17" state="hidden" r:id="rId2"/>
    <sheet name="Mức độ xác minh dữ kiện" sheetId="12" r:id="rId3"/>
    <sheet name="Dimensions coverage" sheetId="13" r:id="rId4"/>
    <sheet name="Resort coverage" sheetId="14" r:id="rId5"/>
    <sheet name="Kết luận" sheetId="15" r:id="rId6"/>
    <sheet name="Dữ liệu thô" sheetId="11" r:id="rId7"/>
    <sheet name="Quản lý &amp; Tích hợp" sheetId="4" r:id="rId8"/>
    <sheet name="Nguồn" sheetId="9" r:id="rId9"/>
  </sheets>
  <calcPr calcId="191029"/>
  <fileRecoveryPr repairLoad="1"/>
</workbook>
</file>

<file path=xl/calcChain.xml><?xml version="1.0" encoding="utf-8"?>
<calcChain xmlns="http://schemas.openxmlformats.org/spreadsheetml/2006/main">
  <c r="B3" i="13" l="1"/>
  <c r="B4" i="13"/>
  <c r="F1048554" i="11"/>
  <c r="G12" i="14"/>
  <c r="F12" i="14"/>
  <c r="E12" i="14"/>
  <c r="D12" i="14"/>
  <c r="C12" i="14"/>
  <c r="B12" i="14"/>
  <c r="G11" i="14"/>
  <c r="F11" i="14"/>
  <c r="E11" i="14"/>
  <c r="D11" i="14"/>
  <c r="C11" i="14"/>
  <c r="B11" i="14"/>
  <c r="G10" i="14"/>
  <c r="F10" i="14"/>
  <c r="E10" i="14"/>
  <c r="D10" i="14"/>
  <c r="C10" i="14"/>
  <c r="B10" i="14"/>
  <c r="G9" i="14"/>
  <c r="F9" i="14"/>
  <c r="E9" i="14"/>
  <c r="D9" i="14"/>
  <c r="C9" i="14"/>
  <c r="B9" i="14"/>
  <c r="G8" i="14"/>
  <c r="F8" i="14"/>
  <c r="E8" i="14"/>
  <c r="D8" i="14"/>
  <c r="C8" i="14"/>
  <c r="B8" i="14"/>
  <c r="G7" i="14"/>
  <c r="F7" i="14"/>
  <c r="E7" i="14"/>
  <c r="D7" i="14"/>
  <c r="C7" i="14"/>
  <c r="B7" i="14"/>
  <c r="G6" i="14"/>
  <c r="F6" i="14"/>
  <c r="E6" i="14"/>
  <c r="D6" i="14"/>
  <c r="C6" i="14"/>
  <c r="B6" i="14"/>
  <c r="G5" i="14"/>
  <c r="F5" i="14"/>
  <c r="E5" i="14"/>
  <c r="D5" i="14"/>
  <c r="C5" i="14"/>
  <c r="B5" i="14"/>
  <c r="G4" i="14"/>
  <c r="F4" i="14"/>
  <c r="E4" i="14"/>
  <c r="D4" i="14"/>
  <c r="C4" i="14"/>
  <c r="B4" i="14"/>
  <c r="G3" i="14"/>
  <c r="F3" i="14"/>
  <c r="E3" i="14"/>
  <c r="D3" i="14"/>
  <c r="C3" i="14"/>
  <c r="B3" i="14"/>
  <c r="G10" i="13"/>
  <c r="F10" i="13"/>
  <c r="E10" i="13"/>
  <c r="D10" i="13"/>
  <c r="C10" i="13"/>
  <c r="B10" i="13"/>
  <c r="G9" i="13"/>
  <c r="F9" i="13"/>
  <c r="E9" i="13"/>
  <c r="D9" i="13"/>
  <c r="C9" i="13"/>
  <c r="B9" i="13"/>
  <c r="G8" i="13"/>
  <c r="F8" i="13"/>
  <c r="E8" i="13"/>
  <c r="D8" i="13"/>
  <c r="C8" i="13"/>
  <c r="B8" i="13"/>
  <c r="G7" i="13"/>
  <c r="F7" i="13"/>
  <c r="E7" i="13"/>
  <c r="D7" i="13"/>
  <c r="C7" i="13"/>
  <c r="B7" i="13"/>
  <c r="G6" i="13"/>
  <c r="F6" i="13"/>
  <c r="E6" i="13"/>
  <c r="D6" i="13"/>
  <c r="C6" i="13"/>
  <c r="B6" i="13"/>
  <c r="G5" i="13"/>
  <c r="F5" i="13"/>
  <c r="E5" i="13"/>
  <c r="D5" i="13"/>
  <c r="C5" i="13"/>
  <c r="B5" i="13"/>
  <c r="G4" i="13"/>
  <c r="F4" i="13"/>
  <c r="E4" i="13"/>
  <c r="D4" i="13"/>
  <c r="C4" i="13"/>
  <c r="G3" i="13"/>
  <c r="F3" i="13"/>
  <c r="E3" i="13"/>
  <c r="D3" i="13"/>
  <c r="C3" i="13"/>
</calcChain>
</file>

<file path=xl/sharedStrings.xml><?xml version="1.0" encoding="utf-8"?>
<sst xmlns="http://schemas.openxmlformats.org/spreadsheetml/2006/main" count="3088" uniqueCount="1199">
  <si>
    <t>Thực hành phát triển bền vững theo từng khía cạnh của các khu nghỉ dưỡng</t>
  </si>
  <si>
    <t>Khu nghỉ dưỡng</t>
  </si>
  <si>
    <t>Tóm tắt về minh chứng đã công bố</t>
  </si>
  <si>
    <t>Năng lượng &amp; Khí hậu</t>
  </si>
  <si>
    <t>Nước</t>
  </si>
  <si>
    <t>Chất thải &amp; Nhựa</t>
  </si>
  <si>
    <t>Thực phẩm &amp; Thu mua</t>
  </si>
  <si>
    <t>Đa dạng sinh học &amp; Hệ sinh thái</t>
  </si>
  <si>
    <t>Cộng đồng &amp; Con người</t>
  </si>
  <si>
    <t>Văn hóa &amp; Di sản</t>
  </si>
  <si>
    <t>Gắn kết khách hàng</t>
  </si>
  <si>
    <t>Lưu ý</t>
  </si>
  <si>
    <t>Six Senses Ninh Van Bay</t>
  </si>
  <si>
    <t>8/8 khía cạnh; 5 khía cạnh có dữ liệu định lượng; có nguồn đối chiếu bên ngoài ở biodiversity/community.</t>
  </si>
  <si>
    <t>Điện mặt trời; 739.782 kWh năm 2025, khoảng 26–28% nhu cầu điện. Chưa thấy KPI cường độ năng lượng công khai.</t>
  </si>
  <si>
    <t>Tiết kiệm nước trong vận hành; chưa thấy KPI nước/khách hoặc phòng có khách công khai.</t>
  </si>
  <si>
    <t>Chai thủy tinh tái sử dụng; 156.288 chai nhựa tránh dùng; ủ phân hữu cơ và thu gom rác cộng đồng.</t>
  </si>
  <si>
    <t>3 vườn hữu cơ; 13.849 kg nông sản hữu cơ; có định hướng thu mua có trách nhiệm nhưng chưa thấy tỷ lệ địa phương.</t>
  </si>
  <si>
    <t>Bảo tồn voọc, phục hồi san hô và rừng ngập mặn; GreenViet tham gia theo dõi đa dạng sinh học.</t>
  </si>
  <si>
    <t>Hỗ trợ giáo dục, nước sạch, đèn năng lượng mặt trời và đào tạo bảo tồn cho nhân viên/cộng đồng.</t>
  </si>
  <si>
    <t>Earth Lab và Langur Lounge giới thiệu văn hóa địa phương gắn với thiên nhiên và bảo tồn.</t>
  </si>
  <si>
    <t>Langur Discovery, Nature Hike, Langur Talk, Flora Walk và các hoạt động tìm hiểu thiên nhiên.</t>
  </si>
  <si>
    <t>Nhiều số liệu là đầu ra; ít KPI chuẩn hóa về năng lượng/nước/chất thải.</t>
  </si>
  <si>
    <t>InterContinental Danang Sun Peninsula Resort</t>
  </si>
  <si>
    <t>8/8 khía cạnh; nhiều thực hành định tính; có Green Globe.</t>
  </si>
  <si>
    <t>Theo dõi năng lượng và áp dụng biện pháp tiết kiệm; chưa thấy KPI cường độ hiện tại.</t>
  </si>
  <si>
    <t>Thiết bị tiết kiệm nước, tái sử dụng và xử lý nước thải; có hệ thống quản lý nước trong vận hành.</t>
  </si>
  <si>
    <t>Chai thủy tinh, phân loại và tái chế; xử lý rác hữu cơ và theo dõi chất thải.</t>
  </si>
  <si>
    <t>Thu mua địa phương và vật liệu ưu tiên môi trường; tránh các loài dễ tổn thương.</t>
  </si>
  <si>
    <t>Bảo tồn linh trưởng, cầu cho động vật di chuyển và hỗ trợ sinh cảnh Sơn Trà.</t>
  </si>
  <si>
    <t>Lao động địa phương, đào tạo nhân viên, hợp tác với trường đào tạo và các hoạt động cộng đồng.</t>
  </si>
  <si>
    <t>Nghệ thuật, kiến trúc và câu chuyện địa phương được đưa vào thiết kế và trải nghiệm.</t>
  </si>
  <si>
    <t>Resident naturalist, Nature Expeditions, Ecowalks và Primate Appreciation Month.</t>
  </si>
  <si>
    <t>Ít KPI định lượng cấp property về cường độ tài nguyên.</t>
  </si>
  <si>
    <t>Banyan Tree Lang Co</t>
  </si>
  <si>
    <t>4/8 khía cạnh có bằng chứng hiện tại trong ma trận, có chứng nhận</t>
  </si>
  <si>
    <t>Chưa thấy KPI hiện tại riêng cho Banyan Tree Lang Co; một số thông tin môi trường là cấp Laguna Lang Co.</t>
  </si>
  <si>
    <t>Xử lý nước thải và nguồn nước thay thế ở cấp khu phức hợp; không gán trực tiếp thành KPI riêng của resort.</t>
  </si>
  <si>
    <t>Đóng chai thủy tinh và ủ phân ở cấp khu phức hợp; chưa có KPI hiện tại riêng của resort.</t>
  </si>
  <si>
    <t>Chưa thấy KPI hiện tại rõ về tỷ lệ thu mua địa phương hoặc thu mua có trách nhiệm.</t>
  </si>
  <si>
    <t>Birdwatching và chương trình Signature Birds; bằng chứng hiện tại về KPI sinh thái còn hạn chế.</t>
  </si>
  <si>
    <t>Đào tạo nghề, hỗ trợ cộng đồng và cơ hội việc làm cho nghệ nhân/người khuyết tật.</t>
  </si>
  <si>
    <t>Thủ công địa phương và câu chuyện văn hóa được đưa vào sản phẩm và trải nghiệm.</t>
  </si>
  <si>
    <t>Workshop thủ công, Stay for Good và birdwatching; một số hoạt động kết nối trực tiếp nghệ nhân với khách.</t>
  </si>
  <si>
    <t>Không gán KPI Laguna integrated resort thành KPI của Banyan Tree property.</t>
  </si>
  <si>
    <t>Topas Ecolodge</t>
  </si>
  <si>
    <t>7/8 khía cạnh; nổi bật về địa gắn kết địa phương</t>
  </si>
  <si>
    <t>Vận hành tiết kiệm năng lượng và sử dụng nguồn tái tạo; chưa có KPI hiệu suất công khai rõ.</t>
  </si>
  <si>
    <t>Thu gom nước mưa, tái sử dụng nước xám và xử lý nước thải bằng vùng đất ngập nước nhân tạo.</t>
  </si>
  <si>
    <t>Loại bỏ nhựa dùng một lần; tái sử dụng chai thủy tinh; đưa chất thải thực phẩm cho hộ dân/nông dân địa phương.</t>
  </si>
  <si>
    <t>&gt;80% thực phẩm và vật tư nhà hàng mua trực tiếp từ nông trại địa phương.</t>
  </si>
  <si>
    <t>Làm việc trong cảnh quan Hoàng Liên và có các thực hành bảo vệ môi trường; chưa thấy KPI đa dạng sinh học cụ thể.</t>
  </si>
  <si>
    <t>&gt;98% nhân viên là người dân tộc thiểu số từ các bản xung quanh; hỗ trợ nghệ nhân và đào tạo nghề.</t>
  </si>
  <si>
    <t>Nghề thủ công, kiến trúc, ẩm thực và câu chuyện địa phương.</t>
  </si>
  <si>
    <t>Workshop văn hóa, Green Leaf Initiative và hoạt động bảo vệ cảnh quan có sự tham gia của khách.</t>
  </si>
  <si>
    <t>Ít KPI hiệu suất chuẩn hóa; ASEAN Green Hotel là ghi nhận, không phải audit KPI.</t>
  </si>
  <si>
    <t>The Westin Resort &amp; Spa Cam Ranh</t>
  </si>
  <si>
    <t>8/8 khía cạnh, một vài KPI được chuẩn hóa</t>
  </si>
  <si>
    <t>Mục tiêu giảm 10% tác động liên quan năng lượng/nước/chất thải vào cuối 2026; đạt 3% đến cuối 2025; 83,5 kg CO₂e/phòng có khách.</t>
  </si>
  <si>
    <t>4.539,37 lít nước/phòng có khách.</t>
  </si>
  <si>
    <t>Chuyển sang chai thủy tinh, tránh hơn 81.000 chai nhựa; có tái chế tại phòng khách.</t>
  </si>
  <si>
    <t>Thu mua protein và hải sản có trách nhiệm; chưa công bố tỷ lệ.</t>
  </si>
  <si>
    <t>Cam kết bảo vệ đa dạng sinh học nhưng chưa có KPI về loài hoặc sinh cảnh.</t>
  </si>
  <si>
    <t>Gây quỹ Road to Give; 1.000 USD năm 2025 và mục tiêu 2.000 USD năm 2026 cho hỗ trợ cộng đồng/giáo dục.</t>
  </si>
  <si>
    <t>Vật liệu tự nhiên, mái xanh và thiết kế gợi liên hệ tới làng chài địa phương.</t>
  </si>
  <si>
    <t>Khuyến khích khách tiết kiệm nước, năng lượng, giảm rác và tham gia đóng góp cộng đồng.</t>
  </si>
  <si>
    <t>Trạng thái Travelife mới được doanh nghiệp công bố; primary directory chưa được truy xuất trong đợt rà.</t>
  </si>
  <si>
    <t>Six Senses Con Dao</t>
  </si>
  <si>
    <t>8/8 khía cạnh, nhiều dữ liệu định lượng cấp cơ sở</t>
  </si>
  <si>
    <t>Thông gió tự nhiên, vật liệu tái chế và sử dụng một phần năng lượng mặt trời; chưa có KPI cường độ hiện tại.</t>
  </si>
  <si>
    <t>Nước thải đã xử lý được tái sử dụng cho vườn và cảnh quan.</t>
  </si>
  <si>
    <t>97.656 chai nhựa tránh dùng; 305 kg nhựa chuyển hướng khỏi chôn lấp; 1.763 kg rác bãi biển thu gom.</t>
  </si>
  <si>
    <t>Vườn hữu cơ khoảng 3.000 m²; 5.641,7 kg rau tươi thu hoạch năm 2025.</t>
  </si>
  <si>
    <t>Bảo tồn rùa xanh; 3.818 rùa con nở và được thả về biển năm 2025, phối hợp với Vườn quốc gia Côn Đảo.</t>
  </si>
  <si>
    <t>Water for All với 12 máy lọc nước và 3.879 người hưởng lợi; 84 giờ dạy tiếng Anh cho cộng đồng.</t>
  </si>
  <si>
    <t>Thiết kế lấy cảm hứng từ làng chài Côn Đảo.</t>
  </si>
  <si>
    <t>Trải nghiệm thả rùa, Earth Lab, tour phát triển bền vững và hoạt động tại vườn.</t>
  </si>
  <si>
    <t>Có GSTC/Control Union; phần lớn KPI property vẫn là số liệu doanh nghiệp tự công bố</t>
  </si>
  <si>
    <t>Mango Bay Phu Quoc</t>
  </si>
  <si>
    <t>6/8 khía cạnh; nổi bật về vân hành sinh thái và tích hợp địa phương</t>
  </si>
  <si>
    <t>Thông gió tự nhiên, nước nóng năng lượng mặt trời, ánh sáng tự nhiên và thiết bị tiết kiệm năng lượng.</t>
  </si>
  <si>
    <t>Bồn cầu lưu lượng thấp, xử lý nước xám bằng bãi lọc trồng cây và tái sử dụng cho vườn/vườn ươm.</t>
  </si>
  <si>
    <t>Mua hàng số lượng lớn, tái chế giấy/kính và tái sử dụng chất thải hữu cơ.</t>
  </si>
  <si>
    <t>&gt;85% hoạt động mua hàng từ nhà cung cấp địa phương.</t>
  </si>
  <si>
    <t>Phối hợp với Wildlife At Risk và Vườn quốc gia Phú Quốc; khảo sát đa dạng sinh học và phục hồi cây bản địa.</t>
  </si>
  <si>
    <t>&gt;80% nhân viên địa phương.</t>
  </si>
  <si>
    <t>Thợ thủ công và vật liệu địa phương/recycled materials gắn với bối cảnh Phú Quốc.</t>
  </si>
  <si>
    <t>Trải nghiệm địa phương; bằng chứng hiện tại về mức tham gia hoặc tác động lên khách còn hạn chế.</t>
  </si>
  <si>
    <t>Một số bằng chứng biodiversity mang tính lịch sử; chưa tìm thấy current third-party certification.</t>
  </si>
  <si>
    <t>Avana Retreat</t>
  </si>
  <si>
    <t>6/8 khía cạnh; nổi bật về đa dạng sinh học, cộng đồng và văn hóa</t>
  </si>
  <si>
    <t>Thực hành giảm tác động trong vận hành; chưa thấy KPI hiện tại rõ về năng lượng.</t>
  </si>
  <si>
    <t>Thực hành tiết kiệm nước; chưa thấy KPI hiện tại rõ về cường độ nước.</t>
  </si>
  <si>
    <t>Giảm hoặc loại bỏ nhựa dùng một lần; chưa có số liệu giảm định lượng rõ.</t>
  </si>
  <si>
    <t>Vườn hữu cơ gắn với hoạt động ẩm thực; chưa có tỷ lệ thu mua địa phương định lượng.</t>
  </si>
  <si>
    <t>Phục hồi rừng; gần 12.000 cây đến 2025; 151 loài; BioScore tăng 24,6% theo đối tác bên ngoài.</t>
  </si>
  <si>
    <t>98% nhân viên địa phương; đội ngũ cảnh quan địa phương và hoạt động với nghệ nhân.</t>
  </si>
  <si>
    <t>Tri thức và văn hóa Thái, H’Mông, Mường được đưa vào kiến trúc, nghề thủ công và hoạt động trải nghiệm.</t>
  </si>
  <si>
    <t>Thăm vườn, thu hoạch, nấu ăn và workshop văn hóa/thủ công.</t>
  </si>
  <si>
    <t>Khoảng trống công khai về energy/water; có chênh lệch 90% và 98% local staff giữa nguồn cũ/mới.</t>
  </si>
  <si>
    <t>Silk Sense Hoi An River Resort</t>
  </si>
  <si>
    <t>8/8 khía cạnh; báo cáo vận hành chi tiết</t>
  </si>
  <si>
    <t>2,81 kWh/khách năm 2025; tổng điện giảm 12,4%.</t>
  </si>
  <si>
    <t>Nước giảm từ 0,71 xuống 0,68 m³/khách giai đoạn 2024–2025.</t>
  </si>
  <si>
    <t>1.536 kg rác chôn lấp năm 2025; gần 24 tấn rác hữu cơ xử lý bằng Waste2Green năm 2024; mở rộng loại bỏ nhựa dùng một lần.</t>
  </si>
  <si>
    <t>Tỷ lệ nhà cung cấp địa phương tăng từ 58% lên 80% năm 2025.</t>
  </si>
  <si>
    <t>Cây bản địa, mặt nước, không gian xanh và giáo dục đa dạng sinh học; chưa có KPI loài.</t>
  </si>
  <si>
    <t>95% nhân viên địa phương; gây quỹ 70 triệu đồng hỗ trợ vùng lũ.</t>
  </si>
  <si>
    <t>Thủ công, nguyên liệu và hoạt động văn hóa địa phương.</t>
  </si>
  <si>
    <t>Vườn hữu cơ, lớp nấu ăn và thông tin đa dạng sinh học trong hành trình khách.</t>
  </si>
  <si>
    <t>Một số số liệu diesel trong report không nhất quán nên đã loại khỏi comparison.</t>
  </si>
  <si>
    <t>Legacy Mekong</t>
  </si>
  <si>
    <t>4/8 khía cạnh; chủ yếu là dữ liệu lịch sử</t>
  </si>
  <si>
    <t>Hệ thống điện mặt trời 500 kWp là dữ liệu lịch sử; chưa có KPI hiện tại được xác minh.</t>
  </si>
  <si>
    <t>Chưa tìm thấy KPI hiện tại đủ cụ thể.</t>
  </si>
  <si>
    <t>Nguyên liệu địa phương và ẩm thực Mekong; chưa có tỷ lệ thu mua hiện tại.</t>
  </si>
  <si>
    <t>Bảo tồn cây trưởng thành và cảnh quan xanh; chưa có KPI đa dạng sinh học hiện tại.</t>
  </si>
  <si>
    <t>Chưa tìm thấy chương trình cộng đồng hiện tại có số liệu đủ cụ thể.</t>
  </si>
  <si>
    <t>Ẩm thực, vật liệu, thiết kế và trải nghiệm gắn với bản sắc Mekong.</t>
  </si>
  <si>
    <t>Các trải nghiệm hiện tại có trồng xương rồng, workshop, picnic, ẩm thực và hoạt động gắn với địa phương.</t>
  </si>
  <si>
    <t>Chưa tìm thấy KPI cụ thể về năng lượng, nước, chất thải, cộng đồng hoặc chứng nhận phát triển bền vững ở cấp cơ sở.</t>
  </si>
  <si>
    <t>Trọng tâm triển khai của các khu nghỉ dưỡng</t>
  </si>
  <si>
    <t>Trọng tâm triển khai</t>
  </si>
  <si>
    <t>Các hoạt động nổi bật</t>
  </si>
  <si>
    <t>Bảo tồn &amp; phục hồi hệ sinh thái; quản lý tài nguyên; cộng đồng &amp; giáo dục</t>
  </si>
  <si>
    <t>Có hệ thống năng lượng mặt trời, vườn hữu cơ và quản lý chất thải; đồng thời có bảo tồn voọc, san hô, rừng ngập mặn và nhiều chương trình cộng đồng. Earth Lab kết nối các hoạt động này với khách.</t>
  </si>
  <si>
    <t>Bảo tồn thiên nhiên; giáo dục &amp; trải nghiệm thiên nhiên; quản lý vận hành</t>
  </si>
  <si>
    <t>Bảo tồn linh trưởng được thể hiện qua cầu cho khỉ, trồng cây, naturalist và các chương trình giáo dục. Chủ đề này còn được đưa vào nhiều hoạt động dành cho khách như Green Hub, Kids activities, yoga và F&amp;B.</t>
  </si>
  <si>
    <t>Cộng đồng &amp; hòa nhập; văn hóa địa phương; đa dạng sinh học &amp; trải nghiệm</t>
  </si>
  <si>
    <t>Hỗ trợ đào tạo và cơ hội việc làm cho cộng đồng; thủ công địa phương; hoạt động với nghệ nhân và người khuyết tật; birdwatching và trải nghiệm văn hóa.</t>
  </si>
  <si>
    <t>Cộng đồng địa phương; thu mua địa phương; vận hành tiết kiệm tài nguyên</t>
  </si>
  <si>
    <t>Lao động địa phương, thu mua từ nông hộ, nghề thủ công và trải nghiệm văn hóa; các biện pháp tiết kiệm tài nguyên và giảm nhựa.</t>
  </si>
  <si>
    <t>Đo lường hiệu suất môi trường; giảm tác động tài nguyên; cộng đồng</t>
  </si>
  <si>
    <t>Có mục tiêu giảm 10% phát thải liên quan đến năng lượng, nước và chất thải đến cuối 2026, đã báo cáo mức giảm 3% đến cuối 2025; đồng thời công bố carbon/water footprint và các hoạt động cộng đồng.</t>
  </si>
  <si>
    <t>Bảo tồn loài gắn với trải nghiệm khách; quản lý tài nguyên &amp; chất thải; cộng đồng &amp; trải nghiệm</t>
  </si>
  <si>
    <t xml:space="preserve">Bảo tồn rùa là chương trình rất rõ với Vườn quốc gia Côn Đảo; song song có vườn hữu cơ, giảm nhựa, 2R Station, Water for All, lớp tiếng Anh và các hoạt động để khách tham gia. </t>
  </si>
  <si>
    <t>Vận hành ít tác động; cộng đồng &amp; kinh tế địa phương; bảo tồn thiên nhiên</t>
  </si>
  <si>
    <t>Thông gió tự nhiên, nước nóng năng lượng mặt trời, xử lý và tái sử dụng nước; giảm chất thải; thu mua và lao động địa phương; hỗ trợ bảo tồn Phú Quốc.</t>
  </si>
  <si>
    <t>Phục hồi hệ sinh thái; cộng đồng địa phương; văn hóa &amp; kiến trúc bản địa</t>
  </si>
  <si>
    <t>Có chương trình phục hồi rừng, gần 12.000 cây đến 2025 và BioScore tăng 24,6%; 98% nhân viên địa phương và nghệ nhân Thái, H’Mông, Mường tham gia vào kiến trúc, nghề thủ công và trải nghiệm.</t>
  </si>
  <si>
    <t>Đo lường hiệu suất vận hành; thu mua địa phương; tích hợp sustainability vào trải nghiệm</t>
  </si>
  <si>
    <t>Theo dõi điện, nước, chất thải và tỷ lệ nhà cung cấp địa phương; vườn hữu cơ; giảm nhựa; hoạt động văn hóa và giáo dục đa dạng sinh học.</t>
  </si>
  <si>
    <t>Bản sắc địa phương &amp; trải nghiệm; ẩm thực địa phương; khung quản lý cấp tập đoàn</t>
  </si>
  <si>
    <t>Ẩm thực Mekong, vật liệu và thiết kế gắn với địa phương, cùng các trải nghiệm liên quan đến đời sống và cảnh quan Mekong.</t>
  </si>
  <si>
    <t>Mức độ xác minh về dữ kiện được công khai</t>
  </si>
  <si>
    <t>Mã</t>
  </si>
  <si>
    <t>Ý nghĩa</t>
  </si>
  <si>
    <t>Cách hiểu</t>
  </si>
  <si>
    <t>Quản lý / tích hợp</t>
  </si>
  <si>
    <t>NB+ĐL</t>
  </si>
  <si>
    <t>Nguồn bên ngoài + dữ liệu định lượng</t>
  </si>
  <si>
    <t>Có nguồn bên ngoài xác nhận/đối chiếu và có chỉ số định lượng</t>
  </si>
  <si>
    <t>ĐL</t>
  </si>
  <si>
    <t>ĐT</t>
  </si>
  <si>
    <t>NB</t>
  </si>
  <si>
    <t>Có tên trong danh bạ GSTC; Control Union (GSTC-I), chu kỳ 2024–2027. Có thêm ghi nhận HICAP 2024.</t>
  </si>
  <si>
    <t>Nguồn bên ngoài</t>
  </si>
  <si>
    <t>Có chứng nhận/đối tác/đánh giá bên ngoài nhưng không có chỉ số định lượng phù hợp ở ô này</t>
  </si>
  <si>
    <t>Green Globe xác nhận chứng nhận công khai; khu nghỉ dưỡng cũng công bố Kế hoạch Quản lý Bền vững 2026–2027.</t>
  </si>
  <si>
    <t>Doanh nghiệp công bố định lượng</t>
  </si>
  <si>
    <t>Có số liệu/chỉ số do doanh nghiệp tự công bố</t>
  </si>
  <si>
    <t>TT</t>
  </si>
  <si>
    <t>BC</t>
  </si>
  <si>
    <t>Có tên trong danh bạ GSTC; Control Union (GSTC-I), chu kỳ 2025–2028. EarthCheck Gold 2022 chỉ dùng như bối cảnh lịch sử/cấp khu phức hợp.</t>
  </si>
  <si>
    <t>Doanh nghiệp công bố định tính</t>
  </si>
  <si>
    <t>Có thực hành/tuyên bố nhưng chưa có số liệu cụ thể</t>
  </si>
  <si>
    <t>Được xác nhận nhận Giải Khách sạn Xanh ASEAN 2026; xem đây là ghi nhận độc lập, không phải kiểm toán chứng nhận toàn bộ chỉ số.</t>
  </si>
  <si>
    <t>Thiếu minh chứng cụ thể</t>
  </si>
  <si>
    <t>Chưa tìm thấy bằng chứng ở cấp cơ sở đủ cụ thể trong phạm vi nguồn đã rà</t>
  </si>
  <si>
    <t>Marriott công bố trạng thái Travelife Certified; trong đợt rà soát công khai này chưa truy xuất được hồ sơ gốc từ danh bạ Travelife.</t>
  </si>
  <si>
    <t>Bối cảnh cấp khu phức hợp</t>
  </si>
  <si>
    <t>Thông tin thuộc khu nghỉ dưỡng tích hợp/điểm đến, không thể quy hoàn toàn cho cơ sở</t>
  </si>
  <si>
    <t>Có tên trong danh bạ GSTC; Control Union (GSTC-I), chu kỳ 2024–2027, mã GSTC HACU240332-1.</t>
  </si>
  <si>
    <t>LS</t>
  </si>
  <si>
    <t>Dữ liệu lịch sử</t>
  </si>
  <si>
    <t>Có bằng chứng trong quá khứ nhưng chưa xác nhận là hiện trạng năm 2026</t>
  </si>
  <si>
    <t>Chưa tìm thấy chứng nhận phát triển bền vững bên thứ ba còn hiệu lực trong các nguồn công khai đã rà.</t>
  </si>
  <si>
    <t>Có đánh giá đa dạng sinh học/văn hóa sinh học từ Guardians of Earth; đây là đánh giá bên ngoài, không phải chứng nhận phát triển bền vững của khách sạn.</t>
  </si>
  <si>
    <t>Khu nghỉ dưỡng công bố Travelife Gold và có Báo cáo Phát triển Bền vững chi tiết; chưa truy xuất được hồ sơ gốc từ danh bạ Travelife trong đợt rà này.</t>
  </si>
  <si>
    <t>Từ cuối năm 2025, khu nghỉ dưỡng thuộc Autograph Collection của Marriott và nằm trong định hướng quản lý phát triển bền vững cấp tập đoàn Serve 360. Tuy nhiên, chưa tìm thấy chứng nhận phát triển bền vững hiện hành hoặc bộ KPI môi trường – xã hội được công bố riêng ở cấp khu nghỉ dưỡng.</t>
  </si>
  <si>
    <t>Mức độ tiến triển của hoạt động</t>
  </si>
  <si>
    <t>Core &amp; supporting records</t>
  </si>
  <si>
    <t>Thực hành</t>
  </si>
  <si>
    <t>Đầu ra</t>
  </si>
  <si>
    <t>Tạo ra thay đổi</t>
  </si>
  <si>
    <t>Cam kết</t>
  </si>
  <si>
    <t>Tổng hợp minh chứng theo 8 khía cạnh</t>
  </si>
  <si>
    <t>Các khía cạnh</t>
  </si>
  <si>
    <t>Số khu nghỉ dưỡng có bằng chứng hiện tại</t>
  </si>
  <si>
    <t>Có dữ liệu định lượng</t>
  </si>
  <si>
    <t>Có nguồn bên ngoài</t>
  </si>
  <si>
    <t>Chỉ có bằng chứng định tính</t>
  </si>
  <si>
    <t>Chỉ có bối cảnh/lịch sử</t>
  </si>
  <si>
    <t>Tổng hợp minh chứng theo khu nghỉ dưỡng</t>
  </si>
  <si>
    <t>Số khía cạnh có bằng chứng hiện tại</t>
  </si>
  <si>
    <t>Số khía cạnh có dữ liệu định lượng</t>
  </si>
  <si>
    <t>Số khía cạnh có nguồn bên ngoài</t>
  </si>
  <si>
    <t>Số khía cạnh chỉ có định tính</t>
  </si>
  <si>
    <t>Số khía cạnh thiếu minh chứng</t>
  </si>
  <si>
    <t>Số khía cạnh chỉ có bối cảnh/lịch sử</t>
  </si>
  <si>
    <t>Tình trạng quản lý / xác minh</t>
  </si>
  <si>
    <t>Kết luận</t>
  </si>
  <si>
    <t>Độ phủ đủ 8 chiều; nổi bật về bằng chứng định lượng và nguồn đối chiếu bên ngoài ở đa dạng sinh học/cộng đồng.</t>
  </si>
  <si>
    <t>Độ phủ đủ 8 chiều; nhiều nội dung còn định tính, nhưng có xác minh bên ngoài về quản lý và một số nội dung khách/thiên nhiên.</t>
  </si>
  <si>
    <t>Bằng chứng công khai tập trung hơn vào quản lý, cộng đồng và trải nghiệm; chỉ số vận hành ở cấp cơ sở còn hạn chế.</t>
  </si>
  <si>
    <t>Mạnh về cộng đồng, thu mua địa phương và bản sắc địa phương; ít bằng chứng hiện tại về đa dạng sinh học định lượng.</t>
  </si>
  <si>
    <t>Có độ phủ đủ 8 chiều và một số chỉ số vận hành đã chuẩn hóa; ít nguồn ngoài được truy xuất công khai trong đợt rà.</t>
  </si>
  <si>
    <t>Độ phủ đủ 8 chiều, nhiều chỉ số định lượng ở cấp cơ sở; có xác minh quản lý qua GSTC.</t>
  </si>
  <si>
    <t>Nổi bật ở thu mua địa phương và cộng đồng; một phần bằng chứng đa dạng sinh học là dữ liệu lịch sử.</t>
  </si>
  <si>
    <t>Nổi bật ở cộng đồng và đa dạng sinh học; còn khoảng trống công khai ở năng lượng và nước.</t>
  </si>
  <si>
    <t>Độ phủ đủ 8 chiều và nhiều chỉ số vận hành định lượng/chuẩn hóa; nguồn ngoài còn hạn chế trong đợt rà công khai.</t>
  </si>
  <si>
    <t>Từ cuối 2025, khu nghỉ dưỡng thuộc Autograph Collection của Marriott và nằm trong khung phát triển bền vững cấp tập đoàn</t>
  </si>
  <si>
    <t>Đã có evidence về vài khía cạnh, nhưng dữ liệu định lượng và KPI môi trường, xã hội từ khu nghỉ dưỡng vẫn còn hạn chế</t>
  </si>
  <si>
    <t>Kết quả chính</t>
  </si>
  <si>
    <t>Minh chứng từ bộ dữ liệu</t>
  </si>
  <si>
    <t>Ý nghĩa phân tích</t>
  </si>
  <si>
    <t>Cần tránh kết luận</t>
  </si>
  <si>
    <t>1. Phạm vi công bố rộng nhưng mức độ minh chứng giữa các khía cạnh rất khác nhau.</t>
  </si>
  <si>
    <t>Văn hóa &amp; Di sản: 10/10 khu nghỉ dưỡng có thông tin nhưng 0/10 có dữ liệu định lượng. Cộng đồng &amp; Con người: 9/10 có thông tin hiện tại, trong đó 7/10 có dữ liệu định lượng.</t>
  </si>
  <si>
    <t>Việc một nội dung được đề cập nhiều không có nghĩa nội dung đó đã được đo lường đầy đủ.</t>
  </si>
  <si>
    <t>Không kết luận Văn hóa &amp; Di sản kém quan trọng chỉ vì thiếu KPI.</t>
  </si>
  <si>
    <t>2. Phát triển bền vững trong mẫu không chỉ xoay quanh môi trường; Cộng đồng &amp; Con người là một trong những khía cạnh được đo lường rõ nhất.</t>
  </si>
  <si>
    <t>Cộng đồng &amp; Con người: 9/10 có bằng chứng hiện tại, 7/10 có dữ liệu định lượng — cao hơn Năng lượng (3/10) và Nước (2/10).</t>
  </si>
  <si>
    <t>Có thể xem phát triển bền vững trong hospitality qua việc làm, đào tạo, thu mua địa phương và sinh kế, không chỉ qua điện, nước hay nhựa.</t>
  </si>
  <si>
    <t>Không suy ra tác động xã hội thực tế tốt hơn tác động môi trường chỉ vì có nhiều số liệu hơn.</t>
  </si>
  <si>
    <t>3. Hiệu suất môi trường vẫn khó so sánh trực tiếp giữa các khu nghỉ dưỡng.</t>
  </si>
  <si>
    <t>Năng lượng và Nước đều có bằng chứng hiện tại ở 7/10 khu nghỉ dưỡng; dữ liệu định lượng lần lượt là 3/10 và 2/10. Westin Cam Ranh và Silk Sense có chỉ số cường độ rõ theo đêm phòng/đêm khách.</t>
  </si>
  <si>
    <t>Dữ liệu công khai chưa đủ đồng nhất để so sánh hiệu quả sử dụng tài nguyên giữa các cơ sở.</t>
  </si>
  <si>
    <t>Không so sánh trực tiếp kWh, nước hay carbon nếu mẫu số và phạm vi đo khác nhau.</t>
  </si>
  <si>
    <t>4. Thông tin công bố vẫn thiên về thực hành và đầu ra hơn là thay đổi thực tế.</t>
  </si>
  <si>
    <t>Trong 108 mục cốt lõi + bổ trợ: 53 mục ở mức Thực hành, 44 mục ở mức Đầu ra, khoảng 10 mục cho thấy thay đổi và 1 mục là Cam kết.</t>
  </si>
  <si>
    <t>Các khu nghỉ dưỡng khá rõ về việc đã làm gì và tạo ra bao nhiêu, nhưng ít thông tin hơn về thay đổi dài hạn.</t>
  </si>
  <si>
    <t>Không coi đầu ra là tác động cuối cùng.</t>
  </si>
  <si>
    <t>5. Gắn kết khách hàng khá phổ biến nhưng ít được đo lường ở mức kết quả.</t>
  </si>
  <si>
    <t>Gắn kết khách hàng có bằng chứng hiện tại ở 9/10 khu nghỉ dưỡng; ma trận chưa có khu nghỉ dưỡng nào đạt nhóm định lượng ở cấp so sánh cho khía cạnh này.</t>
  </si>
  <si>
    <t>Phát triển bền vững đã đi vào trải nghiệm khách ở nhiều nơi, nhưng công bố chủ yếu cho biết hoạt động tồn tại hoặc số lượt tham gia, ít đo thay đổi nhận thức/hành vi.</t>
  </si>
  <si>
    <t>Không kết luận khách đã thay đổi hành vi nếu chưa có minh chứng.</t>
  </si>
  <si>
    <t>6. Xác minh bên ngoài tập trung nhiều hơn ở chứng nhận/quản lý và một số dự án đa dạng sinh học.</t>
  </si>
  <si>
    <t>GSTC/Green Globe xác minh ở cấp hệ thống quản lý; đa dạng sinh học có thêm GreenViet, Guardians of Earth… Trong khi nhiều KPI về năng lượng, chất thải và thu mua vẫn do doanh nghiệp tự công bố.</t>
  </si>
  <si>
    <t>Chứng nhận hệ thống và xác minh từng KPI là hai việc khác nhau.</t>
  </si>
  <si>
    <t>Không dùng chứng nhận để nói mọi KPI của khu nghỉ dưỡng đều đã được kiểm toán.</t>
  </si>
  <si>
    <t>7. Phạm vi công bố và mức độ mạnh của minh chứng là hai khái niệm khác nhau.</t>
  </si>
  <si>
    <t>InterContinental có thông tin ở 8/8 khía cạnh nhưng chỉ 1 khía cạnh có dữ liệu định lượng; Silk Sense cũng 8/8 nhưng có 5 khía cạnh định lượng. Banyan Tree có chứng nhận mạnh nhưng KPI vận hành ở cấp khu nghỉ dưỡng còn ít.</t>
  </si>
  <si>
    <t>Không thể đánh giá mức độ minh bạch chỉ bằng số khía cạnh hoặc số mục thông tin.</t>
  </si>
  <si>
    <t>Không chuyển kết quả thành bảng xếp hạng khu nghỉ dưỡng nào 'bền vững hơn'.</t>
  </si>
  <si>
    <t>Resort</t>
  </si>
  <si>
    <t>Năm</t>
  </si>
  <si>
    <t>Dimension</t>
  </si>
  <si>
    <t>Practice / Initiative</t>
  </si>
  <si>
    <t>Thông tin / Minh chứng chính</t>
  </si>
  <si>
    <t>Keep?</t>
  </si>
  <si>
    <t>Chỉ số</t>
  </si>
  <si>
    <t>Đơn vị</t>
  </si>
  <si>
    <t>Loại minh chứng</t>
  </si>
  <si>
    <t>Guest-facing?</t>
  </si>
  <si>
    <t>Evidence Stage</t>
  </si>
  <si>
    <t>Ghi chú</t>
  </si>
  <si>
    <t>Discussion Tag</t>
  </si>
  <si>
    <t>Operational Area(s)</t>
  </si>
  <si>
    <t>Mức độ tích hợp</t>
  </si>
  <si>
    <t>Nguồn</t>
  </si>
  <si>
    <t>Source Link</t>
  </si>
  <si>
    <t>2025</t>
  </si>
  <si>
    <t>Energy &amp; Climate</t>
  </si>
  <si>
    <t>Điện mặt trời – Ninh Van Greens</t>
  </si>
  <si>
    <t>Trang trại điện mặt trời tạo khoảng 26–28% điện sử dụng của khu nghỉ dưỡng; năm 2025 tạo 739.782 kWh điện tái tạo.</t>
  </si>
  <si>
    <t>Core</t>
  </si>
  <si>
    <t>kWh</t>
  </si>
  <si>
    <t>B – Doanh nghiệp công bố định lượng</t>
  </si>
  <si>
    <t>No – Back-of-house</t>
  </si>
  <si>
    <t>Output</t>
  </si>
  <si>
    <t>KPI định lượng rõ, nhưng là số liệu doanh nghiệp tự công bố; chưa cho biết cường độ sử dụng năng lượng hay mức giảm so với mốc cơ sở.</t>
  </si>
  <si>
    <t>Integration; Evidence &amp; Transparency</t>
  </si>
  <si>
    <t>Engineering / Sustainability</t>
  </si>
  <si>
    <t>Tích hợp vào vận hành</t>
  </si>
  <si>
    <t>Trang chính thức của khu nghỉ dưỡng</t>
  </si>
  <si>
    <t>https://www.sixs+R2:R124enses.com/en/hotels-resorts/asia-the-pacific/vietnam/ninh-van-bay/sustainability/</t>
  </si>
  <si>
    <t>Current review</t>
  </si>
  <si>
    <t>Tiết kiệm nước trong vận hành khu nghỉ dưỡng</t>
  </si>
  <si>
    <t>Trong các nguồn đã rà, chưa tìm thấy KPI công khai kiểu kWh/phòng có khách hoặc kWh/đêm khách của riêng Ninh Van Bay theo thời gian.</t>
  </si>
  <si>
    <t>Data gap</t>
  </si>
  <si>
    <t>E – Chưa tìm thấy minh chứng cụ thể</t>
  </si>
  <si>
    <t>739.782 kWh là đầu ra của điện mặt trời, không cho biết tổng hiệu quả năng lượng của khu nghỉ dưỡng có cải thiện hay không.</t>
  </si>
  <si>
    <t>Evidence &amp; Transparency</t>
  </si>
  <si>
    <t xml:space="preserve"> </t>
  </si>
  <si>
    <t>https://www.sixsenses.com/en/hotels-resorts/asia-the-pacific/vietnam/ninh-van-bay/sustainability/</t>
  </si>
  <si>
    <t>Community Waste Care</t>
  </si>
  <si>
    <t>Có cách tiếp cận đo lường khí hậu ở cấp thương hiệu, nhưng chưa thấy Phạm vi 1/2 phát thải hoặc carbon/phòng có khách riêng của Ninh Van Bay trong các nguồn đã rà.</t>
  </si>
  <si>
    <t>Giúp phân biệt quản trị cấp thương hiệu với hiệu suất công bố cấp khu nghỉ dưỡng.</t>
  </si>
  <si>
    <t>Management / Engineering / Sustainability</t>
  </si>
  <si>
    <t>Tích hợp ở hệ thống quản lý</t>
  </si>
  <si>
    <t>https://www.sixsenses.com/en/sustainability/impacts/</t>
  </si>
  <si>
    <t>Current</t>
  </si>
  <si>
    <t>Water</t>
  </si>
  <si>
    <t>Ủ phân hữu cơ</t>
  </si>
  <si>
    <t>Khu nghỉ dưỡng mô tả tiết kiệm nước là một phần của định hướng vận hành bền vững tại khu nghỉ dưỡng.</t>
  </si>
  <si>
    <t>Supporting</t>
  </si>
  <si>
    <t>C – Doanh nghiệp công bố định tính</t>
  </si>
  <si>
    <t>Practice</t>
  </si>
  <si>
    <t>Có mô tả thực hành nhưng chưa có KPI định lượng về lượng nước sử dụng hoặc tiết kiệm.</t>
  </si>
  <si>
    <t>Breadth; Evidence &amp; Transparency</t>
  </si>
  <si>
    <t>Composting</t>
  </si>
  <si>
    <t>Chưa tìm thấy nước/đêm khách, nước/phòng có khách hoặc mức giảm % công khai cho riêng khu nghỉ dưỡng trong các nguồn đã rà.</t>
  </si>
  <si>
    <t>Nên giữ để đối chiếu với các khu nghỉ dưỡng có KPI hiệu suất sử dụng nước nếu xuất hiện trong mẫu nghiên cứu.</t>
  </si>
  <si>
    <t>Waste &amp; Plastic</t>
  </si>
  <si>
    <t>Vườn hữu cơ / Solar Fresh-Cuts</t>
  </si>
  <si>
    <t>156.288 chai nhựa dùng một lần được thay thế bằng chai thủy tinh tái sử dụng.</t>
  </si>
  <si>
    <t>bottles</t>
  </si>
  <si>
    <t>Yes – Visible</t>
  </si>
  <si>
    <t>Đầu ra dễ hiểu và có thể so sánh nếu khu nghỉ dưỡng khác cũng công bố chai nhựa tránh dùng; chưa phải chất thải kết quả tổng thể.</t>
  </si>
  <si>
    <t>Evidence &amp; Transparency; Integration</t>
  </si>
  <si>
    <t>F&amp;B / Rooms / Sustainability</t>
  </si>
  <si>
    <t>Tích hợp liên phòng ban</t>
  </si>
  <si>
    <t>Thu mua có trách nhiệm</t>
  </si>
  <si>
    <t>Trash to Treasure, Master Chef Upcycling, beach clean-ups và bảo tồn hoạt động thu hút 232 người dân/nhân viên/khách và thu gom 1.961 kg rác.</t>
  </si>
  <si>
    <t>kg waste</t>
  </si>
  <si>
    <t>Yes – Participatory</t>
  </si>
  <si>
    <t>Vừa là hoạt động về chất thải vừa có cộng đồng/sự tham gia của khách; khía cạnh chính là Chất thải &amp; Nhựa để tránh tính trùng.</t>
  </si>
  <si>
    <t>Community; Guest Experience; Integration</t>
  </si>
  <si>
    <t>Sustainability / Community / Experience</t>
  </si>
  <si>
    <t>Tích hợp với cộng đồng</t>
  </si>
  <si>
    <t>Quần thể voọc chà vá chân đen</t>
  </si>
  <si>
    <t>4.200 kg phân hữu cơ/phân hữu cơ được sản xuất từ nguồn hữu cơ tại khu nghỉ dưỡng trong năm 2025.</t>
  </si>
  <si>
    <t>kg</t>
  </si>
  <si>
    <t>Cho thấy tuần hoàn trong vận hành, nhưng chưa biết tỷ lệ rác hữu cơ được phân hữu cơ trên tổng chất thải.</t>
  </si>
  <si>
    <t>F&amp;B / Gardens / Sustainability</t>
  </si>
  <si>
    <t>Phục hồi san hô</t>
  </si>
  <si>
    <t>Có phân hữu cơ, chai nhựa tránh dùng và các đầu ra từ hoạt động thu gom rác cộng đồng, nhưng chưa thấy tổng lượng chất thải phát sinh, tỷ lệ chuyển hướng khỏi chôn lấp hoặc lượng chất thải/đêm khách.</t>
  </si>
  <si>
    <t>Quan trọng cho phần Thảo luận: nhiều đầu ra riêng lẻ không đồng nghĩa đã có chỉ số kết quả/hiệu suất tổng thể.</t>
  </si>
  <si>
    <t>Engineering / Sustainability / F&amp;B</t>
  </si>
  <si>
    <t>Food &amp; Procurement</t>
  </si>
  <si>
    <t>Theo dõi voọc – đối tác xác nhận</t>
  </si>
  <si>
    <t>Ba khu vườn sản xuất 13.849 kg rau quả hữu cơ; điện mặt trời Fresh-Cuts trồng thảo mộc, trái cây và rau dùng cho nhà hàng.</t>
  </si>
  <si>
    <t>Yes – Visible / experience-linked</t>
  </si>
  <si>
    <t>Một thực hành liên kết thu mua và F&amp;B; phù hợp để phân tích tích hợp vào vận hành.</t>
  </si>
  <si>
    <t>Integration; Guest Experience</t>
  </si>
  <si>
    <t>F&amp;B / Procurement / Sustainability</t>
  </si>
  <si>
    <t>Khảo sát đa dạng sinh học 5 năm</t>
  </si>
  <si>
    <t>Khu nghỉ dưỡng mô tả việc ưu tiên các nguồn nguyên liệu được khai thác/cung ứng có trách nhiệm trong hoạt động vận hành.</t>
  </si>
  <si>
    <t>Mô tả có ý nghĩa nhưng chưa có tỷ lệ địa phương/thu mua có trách nhiệm cụ thể.</t>
  </si>
  <si>
    <t>Procurement / F&amp;B / Sustainability</t>
  </si>
  <si>
    <t>Nghiên cứu đa dạng sinh học rừng</t>
  </si>
  <si>
    <t>Chưa tìm thấy % chi tiêu hoặc % food sourced địa phươngly/responsibly cho riêng Ninh Van Bay trong các nguồn đã rà.</t>
  </si>
  <si>
    <t>Giúp phân biệt thu mua commitment với mức độ thu mua được đo lường.</t>
  </si>
  <si>
    <t>2019–2025</t>
  </si>
  <si>
    <t>Biodiversity &amp; Ecosystems</t>
  </si>
  <si>
    <t>Phục hồi rừng ngập mặn</t>
  </si>
  <si>
    <t>Khu nghỉ dưỡng công bố số cá thể được ghi nhận tại Hòn Hèo tăng từ 109 năm 2019 lên 211 năm 2025.</t>
  </si>
  <si>
    <t>individuals</t>
  </si>
  <si>
    <t>Yes – Experience-integrated</t>
  </si>
  <si>
    <t>Outcome indicator</t>
  </si>
  <si>
    <t>Gần kết quả hơn hoạt động/đầu ra, nhưng không được suy ra toàn bộ mức tăng là causal effect của khu nghỉ dưỡng.</t>
  </si>
  <si>
    <t>Evidence &amp; Transparency; Interesting Case</t>
  </si>
  <si>
    <t>Sustainability / Biodiversity / Experience</t>
  </si>
  <si>
    <t>Tích hợp với khách / điểm đến</t>
  </si>
  <si>
    <t>San hô sinh sản tự nhiên</t>
  </si>
  <si>
    <t>Duy trì 80 khung san hô, lắp 12 khung mới, cấy lại 200 mảnh san hô, hơn 250 giờ theo dõi/bảo trì; 128 khách tham gia.</t>
  </si>
  <si>
    <t>coral fragments</t>
  </si>
  <si>
    <t>Rất giàu đầu ra chỉ sốs và có sự tham gia của khách; cần phân biệt phục hồi đầu ra với kết quả sinh thái.</t>
  </si>
  <si>
    <t>Guest Experience; Integration; Evidence &amp; Transparency</t>
  </si>
  <si>
    <t>Marine / Sustainability / Experience</t>
  </si>
  <si>
    <t>Hỗ trợ giáo dục</t>
  </si>
  <si>
    <t>GreenViet cũng báo cáo giám sát dài hạn cho thấy quần thể từ 109 cá thể năm 2019 lên 211 cá thể năm 2025.</t>
  </si>
  <si>
    <t>D – Xác nhận từ đối tác bên ngoài</t>
  </si>
  <si>
    <t>Nguồn đối tác corrobotỷ lệs xu hướng đối tượng; GreenViet là đối tác bảo tồn nên không gọi là independent audit.</t>
  </si>
  <si>
    <t>Sustainability / Biodiversity / Research</t>
  </si>
  <si>
    <t>Tích hợp nghiên cứu / bảo tồn</t>
  </si>
  <si>
    <t>GreenViet</t>
  </si>
  <si>
    <t>https://greenviet.org/tin-tuc/6-nam-dong-hanh-bao-ton-cha-va-chan-den-dau-an-hop-tac-greenviet-six-senses-ninh-van-bay/</t>
  </si>
  <si>
    <t>2019–2024</t>
  </si>
  <si>
    <t>Đào tạo bảo tồn cho nhân viên</t>
  </si>
  <si>
    <t>GreenViet báo cáo hơn 300 loài động, thực vật được ghi nhận; 7 loài động vật và 10 loài thực vật thuộc các danh sách quý hiếm.</t>
  </si>
  <si>
    <t>&gt; species</t>
  </si>
  <si>
    <t>No – Research-facing</t>
  </si>
  <si>
    <t>Nguồn đối tác giúp đối chiếu quy mô nghiên cứu đa dạng sinh học; phạm vi khác với con số 150 loài do khu nghỉ dưỡng công bố từ năm 2022.</t>
  </si>
  <si>
    <t>Biodiversity / Sustainability / Research</t>
  </si>
  <si>
    <t>https://greenviet.org/tin-tuc/thanh-tuu-xanh-tu-5-nam-hop-tac-giua-greenviet-va-six-senses-ninh-van-ba/</t>
  </si>
  <si>
    <t>2022–2025</t>
  </si>
  <si>
    <t>Water for All</t>
  </si>
  <si>
    <t>Six Senses công bố đã nhận diện 150 loài trong surrounding forest từ 2022, gồm 10 rare plant loài; Curcuma sixsensesensis được công nhận năm 2022.</t>
  </si>
  <si>
    <t>species</t>
  </si>
  <si>
    <t>Không gộp trực tiếp với số 300+ loài của GreenViet vì phạm vi/thời kỳ khác.</t>
  </si>
  <si>
    <t>Nâng cao nhận thức bảo tồn cho cộng đồng và học sinh/sinh viên</t>
  </si>
  <si>
    <t>Six Senses công bố hơn 150 nhân viên tham gia trồng 14.700 cây ngập mặn tại Đầm Bấy và Đầm Thị Nại.</t>
  </si>
  <si>
    <t>trees</t>
  </si>
  <si>
    <t>No – Staff/community-facing</t>
  </si>
  <si>
    <t>Đầu ra phục hồi hệ sinh thái; chưa phải kết quả như survival tỷ lệ hoặc đa dạng sinh học change.</t>
  </si>
  <si>
    <t>Integration; Community</t>
  </si>
  <si>
    <t>Sustainability / HR / Community</t>
  </si>
  <si>
    <t>điện mặt trời for Life</t>
  </si>
  <si>
    <t>Ngày 18/4/2025, khu nghỉ dưỡng lần đầu ghi nhận hiện tượng sinh sản tự nhiên của san hô trong phục hồi area.</t>
  </si>
  <si>
    <t>recorded event</t>
  </si>
  <si>
    <t>Đây là chỉ báo thay đổi sinh thái đáng chú ý, nhưng một lần quan sát chưa đủ để chứng minh tác động dài hạn.</t>
  </si>
  <si>
    <t>Interesting Case; Evidence &amp; Transparency</t>
  </si>
  <si>
    <t>Marine Biology / Sustainability</t>
  </si>
  <si>
    <t>Chuyến học tập môi trường cho học sinh</t>
  </si>
  <si>
    <t>GreenViet ghi nhận các loài quý hiếm qua camera trap như Cheo cheo lưng bạc, Tê tê Java, Cu li nhỏ/Mèo rừng; giai đoạn 2023–2025 tiếp tục có wildlife records.</t>
  </si>
  <si>
    <t>Appendix</t>
  </si>
  <si>
    <t>Cho thấy hoạt động theo dõi khoa học kéo dài, nhưng chưa có một KPI tổng hợp duy nhất để so sánh.</t>
  </si>
  <si>
    <t>Biodiversity / Research</t>
  </si>
  <si>
    <t>Community &amp; People</t>
  </si>
  <si>
    <t>Giới thiệu văn hóa địa phương tại Earth Lab / Langur Lounge</t>
  </si>
  <si>
    <t>Hơn 1.000 học sinh/sinh viên hưởng lợi từ các chương trình giáo dục; 138 sinh viên đại học tham gia workshop về phát triển bền vững; 400 cuốn sách được tặng.</t>
  </si>
  <si>
    <t>&gt; students</t>
  </si>
  <si>
    <t>No – Community-facing</t>
  </si>
  <si>
    <t>Có đầu ra xã hội rõ nhưng chưa có longitudinal kết quả về việc làm/income/nghề nghiệp progression.</t>
  </si>
  <si>
    <t>Community; Evidence &amp; Transparency</t>
  </si>
  <si>
    <t>HR / Education / Community / Sustainability</t>
  </si>
  <si>
    <t>H1 2025</t>
  </si>
  <si>
    <t>Langur Discovery</t>
  </si>
  <si>
    <t>GreenViet ghi nhận 6 hoạt động nội bộ về đa dạng sinh học/bảo tồn, thu hút tổng cộng 62 nhân viên tham gia.</t>
  </si>
  <si>
    <t>staff</t>
  </si>
  <si>
    <t>No – Staff-facing</t>
  </si>
  <si>
    <t>Minh chứng tốt cho góc nhìn quản lý/tích hợp: nhân viên được trang bị kiến thức để truyền tải tới khách.</t>
  </si>
  <si>
    <t>HR / Sustainability / Experience</t>
  </si>
  <si>
    <t>https://greenviet.org/tin-tuc/truyen-cam-hung-yeu-va-bao-ve-thien-nhien-tai-six-senses-ninh-van-bay/</t>
  </si>
  <si>
    <t>Hoạt động thiên nhiên – lượt tham gia trong năm</t>
  </si>
  <si>
    <t>Lắp hệ thống RO–UV tại Trường Tiểu học Ninh Ích, cung cấp nước uống an toàn cho 200 học sinh và giáo viên; các buổi nâng cao nhận thức tiếp cận hơn 180 người.</t>
  </si>
  <si>
    <t>students &amp; teachers</t>
  </si>
  <si>
    <t>khía cạnh chính là cộng đồng &amp; People vì đây là cộng đồng access project, không phải KPI sử dụng nước trong khu nghỉ dưỡng.</t>
  </si>
  <si>
    <t>Community / Sustainability / Water</t>
  </si>
  <si>
    <t>Hoạt động tìm hiểu thiên nhiên</t>
  </si>
  <si>
    <t>Six Senses công bố 457 người dân địa phương và học sinh/sinh viên tham gia trồng/phục hồi rừng, chuyến thăm trường, hoạt động tại trường đại học, giáo dục về động vật hoang dã và triển lãm Ngày Trái Đất.</t>
  </si>
  <si>
    <t>people</t>
  </si>
  <si>
    <t>Không gộp với con số 457 sự tham gia của kháchs do GreenViet công bố; hai nguồn mô tả khác đối tượng.</t>
  </si>
  <si>
    <t>Sustainability / Community / Education</t>
  </si>
  <si>
    <t>2024–2025</t>
  </si>
  <si>
    <t>Theo dõi năng lượng hàng tháng và nâng cao hiệu quả</t>
  </si>
  <si>
    <t>Năm 2025 lắp 18 hệ thống đèn năng lượng mặt trời; Six Senses cho biết dự án mang lợi ích cho hơn 1.330 người trong 2024–2025.</t>
  </si>
  <si>
    <t>&gt; people benefited</t>
  </si>
  <si>
    <t>Dùng cộng đồng &amp; People làm khía cạnh chính vì chỉ số chính là người hưởng lợi reach, dù giải pháp dùng điện mặt trời.</t>
  </si>
  <si>
    <t>Community; Integration</t>
  </si>
  <si>
    <t>Community / Sustainability</t>
  </si>
  <si>
    <t>https://www.sixsenses.com/vn/hotels-resorts/asia-the-pacific/vietnam/ninh-van-bay/sustainability/</t>
  </si>
  <si>
    <t>Tiết kiệm, tái sử dụng nước và quản lý nước thải</t>
  </si>
  <si>
    <t>GreenViet ghi nhận 2 chương trình giáo dục cho học sinh; tiêu biểu có 26 học sinh và giáo viên của Happy Village School tham gia chuyến học tập thực địa.</t>
  </si>
  <si>
    <t>đối tác corroboration cho social/cộng đồng dimension.</t>
  </si>
  <si>
    <t>Community</t>
  </si>
  <si>
    <t>Sustainability / Education / Community</t>
  </si>
  <si>
    <t>Hồ bơi ngoài trời không chlorine / hệ thống ion muối</t>
  </si>
  <si>
    <t>Khu nghỉ dưỡng nói có học bổng, thực tập và cơ hội việc làm nhưng chưa thấy % lao động địa phương, duy trì nhân sự hoặc nghề nghiệp kết quả dài hạn.</t>
  </si>
  <si>
    <t>Giúp kiểm tra social phát triển bền vững có đi từ programme đầu ra tới việc làm kết quả hay chưa.</t>
  </si>
  <si>
    <t>HR / Community / Sustainability</t>
  </si>
  <si>
    <t>Culture &amp; Heritage</t>
  </si>
  <si>
    <t>Triple R / tái sử dụng rác hữu cơ / chai thủy tinh</t>
  </si>
  <si>
    <t>Khu nghỉ dưỡng mô tả Earth Lab và Langur Lounge là nơi du khách tìm hiểu về phát triển bền vững, địa phương culture và bảo tồn động vật hoang dã.</t>
  </si>
  <si>
    <t>Có mô tả việc giới thiệu văn hóa, nhưng nguồn đã rà chưa cung cấp thực hành/chỉ số văn hóa cụ thể hơn.</t>
  </si>
  <si>
    <t>Breadth; Guest Experience; Evidence &amp; Transparency</t>
  </si>
  <si>
    <t>Experience / Sustainability / Culture</t>
  </si>
  <si>
    <t>Tích hợp vào trải nghiệm khách</t>
  </si>
  <si>
    <t>Thu mua có trách nhiệm/địa phương &amp; danh sách tránh các loài nguy cấp</t>
  </si>
  <si>
    <t>Trong các nguồn đã rà, chưa tìm thấy chỉ số hoặc kết quả cụ thể về bảo tồn di sản/văn hóa địa phương tại khu nghỉ dưỡng.</t>
  </si>
  <si>
    <t>No – Governance</t>
  </si>
  <si>
    <t>Không có công khai minh chứng cụ thể không đồng nghĩa khu nghỉ dưỡng không thực hiện; chỉ phản ánh công bố được tìm thấy.</t>
  </si>
  <si>
    <t>Culture / Experience / Sustainability</t>
  </si>
  <si>
    <t>Guest Engagement</t>
  </si>
  <si>
    <t>Cầu cho linh trưởng &amp; hỗ trợ sinh cảnh bản địa</t>
  </si>
  <si>
    <t>Khoảng 117 khách tham gia Langur Discovery do GreenViet nghiên cứuers hướng dẫn trong 6 tháng đầu 2025.</t>
  </si>
  <si>
    <t>guests</t>
  </si>
  <si>
    <t>Minh chứng trực tiếp từ đối tác về trải nghiệm phát triển bền vững có sự tham gia của khách.</t>
  </si>
  <si>
    <t>Guest Experience; Integration</t>
  </si>
  <si>
    <t>Experience / Biodiversity / Sustainability</t>
  </si>
  <si>
    <t>Tuyển dụng địa phương, đào tạo &amp; hợp tác với trường hospitality</t>
  </si>
  <si>
    <t>GreenViet báo cáo 457 lượt du khách tham gia Step into the Wild, Langur Talk, Flora Walk hoặc Nature Hike trong năm 2025.</t>
  </si>
  <si>
    <t>guest participations</t>
  </si>
  <si>
    <t>Không gộp với con số 457 người dân địa phương/học sinh, sinh viên do Six Senses công bố; đây là lượt khách tham gia theo GreenViet.</t>
  </si>
  <si>
    <t>Guest Experience; Evidence &amp; Transparency</t>
  </si>
  <si>
    <t>Hỗ trợ cộng đồng &amp; sáng kiến nước sạch</t>
  </si>
  <si>
    <t>Khoảng 97 khách tham gia Langur Talk, Flora Walk, Snake Talk và Nature Hike.</t>
  </si>
  <si>
    <t>Cho thấy phát triển bền vững được đóng gói thành trải nghiệm học hỏi, không chỉ truyền thông thụ động.</t>
  </si>
  <si>
    <t>Experience / Biodiversity</t>
  </si>
  <si>
    <t>2026–2027</t>
  </si>
  <si>
    <t>Giới thiệu văn hóa, nghệ thuật &amp; kiến trúc địa phương</t>
  </si>
  <si>
    <t>Kế hoạch Quản lý Phát triển Bền vững nêu khu nghỉ dưỡng theo dõi mức sử dụng năng lượng hàng tháng và ưu tiên thiết bị/giải pháp tiết kiệm năng lượng.</t>
  </si>
  <si>
    <t>Có quy trình quản lý rõ nhưng chưa thấy KPI cường độ sử dụng năng lượng/cấp khu nghỉ dưỡng mức giảm cụ thể trong nguồn này.</t>
  </si>
  <si>
    <t>Kế hoạch Quản lý Phát triển bền vững của khu nghỉ dưỡng</t>
  </si>
  <si>
    <t>https://www.danang.intercontinental.com/wp-content/uploads/2025/11/SUSTAINABILITY-MANAGEMENT-PLAN-2026-2027.pdf</t>
  </si>
  <si>
    <t>Tham gia hoạt động giáo dục thiên nhiên</t>
  </si>
  <si>
    <t>Plan nêu giám sát nguồn nước/nước thải, dùng thiết bị tiết kiệm nước, tái sử dụng nước phù hợp và khuyến khích towel/linen reuse.</t>
  </si>
  <si>
    <t>Mixed</t>
  </si>
  <si>
    <t>Thể hiện quản lý nước đã đi vào vận hành và khách hành vi, nhưng chưa có cường độ sử dụng nước KPI công khai trong nguồn rà soát.</t>
  </si>
  <si>
    <t>Integration; Guest Experience; Evidence &amp; Transparency</t>
  </si>
  <si>
    <t>Engineering / Housekeeping / Rooms / Sustainability</t>
  </si>
  <si>
    <t>2026</t>
  </si>
  <si>
    <t>Giáo dục về động vật hoang dã với resident naturalist</t>
  </si>
  <si>
    <t>Green Globe cho biết chlorine đã được loại khỏi các hồ bơi ngoài trời và khu nghỉ dưỡng lắp hệ thống ion muối nhằm giảm tác động môi trường nhưng vẫn duy trì chất lượng nước.</t>
  </si>
  <si>
    <t>D – Xác nhận từ nguồn chứng nhận bên ngoài</t>
  </si>
  <si>
    <t>Nguồn chứng nhận bên ngoài xác nhận một biện pháp xử lý nước cụ thể; đây không phải KPI về lượng nước tiêu thụ.</t>
  </si>
  <si>
    <t>Engineering / Pools / Sustainability</t>
  </si>
  <si>
    <t>Green Globe</t>
  </si>
  <si>
    <t>https://www.greenglobe.com/news/intercontinental-danang-sun-peninsula-resort</t>
  </si>
  <si>
    <t>15 loài chim tiêu biểu / quan sát chim có hướng dẫn</t>
  </si>
  <si>
    <t>Plan nêu food và rác hữu cơ được tái sử dụng cho farming, áp dụng Triple R, theo dõi chất thải đầu ra hàng tháng và dùng nước uống trong chai thủy tinh.</t>
  </si>
  <si>
    <t>thực hành trải qua F&amp;B, quản lý chất thải và bao bì dành cho khách; chưa thấy tổng tỷ lệ chuyển hướng chất thải.</t>
  </si>
  <si>
    <t>F&amp;B / Engineering / Housekeeping / Sustainability</t>
  </si>
  <si>
    <t>Quan sát chim / trải nghiệm đa dạng sinh học</t>
  </si>
  <si>
    <t>Kế hoạch ưu tiên hàng có thể tái chế/tái sử dụng, nhà cung cấp địa phương và giảm tác động hóa chất; F&amp;B có 'No-No list' nhằm tránh các loài nguy cấp.</t>
  </si>
  <si>
    <t>Cho thấy thu mua và F&amp;B được đưa vào phát triển bền vững khung; chưa có % địa phương thu mua.</t>
  </si>
  <si>
    <t>Breadth; Integration</t>
  </si>
  <si>
    <t>Seedlings Mentorship</t>
  </si>
  <si>
    <t>Trang Nature &amp; Wildlife mô tả 5 monkey bridges, habitat planting và các biện pháp giảm xung đột giữa khu nghỉ dưỡng vận hành với wildlife tại Sơn Trà.</t>
  </si>
  <si>
    <t>monkey bridges</t>
  </si>
  <si>
    <t>chỉ số là hạ tầng hỗ trợ wildlife, không phải kết quả của quần thể động vật.</t>
  </si>
  <si>
    <t>Sustainability / Engineering / Landscaping / Experience</t>
  </si>
  <si>
    <t>Trang Thiên nhiên &amp; Động vật hoang dã chính thức của khu nghỉ dưỡng</t>
  </si>
  <si>
    <t>https://www.danang.intercontinental.com/sustainability/nature-wildlife/</t>
  </si>
  <si>
    <t>Đào tạo nghề Seedlings</t>
  </si>
  <si>
    <t>Trang môi trường của khu nghỉ dưỡng cho biết khu bảo tồn thiên nhiên xung quanh có hơn 1.500 loài động, thực vật.</t>
  </si>
  <si>
    <t>&gt; species in surrounding reserve</t>
  </si>
  <si>
    <t>No – Context</t>
  </si>
  <si>
    <t>Output / context</t>
  </si>
  <si>
    <t>Đây là bối cảnh cho thấy độ nhạy sinh thái của khu vực, không phải kết quả đa dạng sinh học do khu nghỉ dưỡng tạo ra và không nhất thiết là số loài ghi nhận trong ranh giới khu nghỉ dưỡng.</t>
  </si>
  <si>
    <t>Biodiversity; Evidence &amp; Transparency</t>
  </si>
  <si>
    <t>Sustainability / Landscaping / Destination</t>
  </si>
  <si>
    <t>Bối cảnh điểm đến</t>
  </si>
  <si>
    <t>Cam kết Môi trường của khu nghỉ dưỡng</t>
  </si>
  <si>
    <t>https://www.danang.intercontinental.com/sustainability/environmental-commitment/</t>
  </si>
  <si>
    <t>Trung tâm Bảo trợ Xã hội Nước Ngọt / hỗ trợ sinh kế</t>
  </si>
  <si>
    <t>Sociocultural plan nêu ưu tiên địa phương hiring, employee đào tạo và hợp tác với các trường hospitality để phát triển năng lực/việc làm.</t>
  </si>
  <si>
    <t>Có tích hợp vào hoạt động nhân sự nhưng chưa thấy KPI công khai về tỷ lệ lao động địa phương hay kết quả việc làm.</t>
  </si>
  <si>
    <t>Breadth; Community; Evidence &amp; Transparency</t>
  </si>
  <si>
    <t>HR / Community / Learning &amp; Development</t>
  </si>
  <si>
    <t>Cam kết Xã hội – Văn hóa của khu nghỉ dưỡng</t>
  </si>
  <si>
    <t>https://www.danang.intercontinental.com/sustainability/sociocultural-commitment/</t>
  </si>
  <si>
    <t>Trải nghiệm thủ công &amp; văn hóa địa phương</t>
  </si>
  <si>
    <t>Trang địa phương cộng đồng mô tả hỗ trợ bệnh viện, trung tâm dạy nghề/nhóm yếu thế, hiến máu và hệ thống lọc nước sạch cho cộng đồng địa phương.</t>
  </si>
  <si>
    <t>Phù hợp để minh họa khía cạnh xã hội của phát triển bền vững; chưa nên gộp các chương trình thành một kết quả duy nhất.</t>
  </si>
  <si>
    <t>Community; Breadth</t>
  </si>
  <si>
    <t>Community / HR / Sustainability</t>
  </si>
  <si>
    <t>Trang Cộng đồng địa phương chính thức của khu nghỉ dưỡng</t>
  </si>
  <si>
    <t>https://www.danang.intercontinental.com/sustainability/local-community/</t>
  </si>
  <si>
    <t>Trải nghiệm Stay for Good</t>
  </si>
  <si>
    <t>Khu nghỉ dưỡng cam kết cung cấp thông tin về văn hóa, lịch sử và thiên nhiên địa phương, đồng thời phản ánh nghệ thuật/kiến trúc địa phương trong thiết kế và trải nghiệm.</t>
  </si>
  <si>
    <t>Mức độ tích hợp văn hóa được mô tả khá rõ nhưng chưa có chỉ số/kết quả cụ thể.</t>
  </si>
  <si>
    <t>Design / Experience / Communications</t>
  </si>
  <si>
    <t>Prior year reported by Green Globe</t>
  </si>
  <si>
    <t>Vận hành tiết kiệm năng lượng &amp; sử dụng nguồn tái tạo</t>
  </si>
  <si>
    <t>Green Globe ghi nhận hơn 6.500 lượt tham gia các hoạt động giáo dục thiên nhiên như Nature Expeditions và Ecowalks hằng ngày trong năm được báo cáo.</t>
  </si>
  <si>
    <t>participants (&gt;)</t>
  </si>
  <si>
    <t>Nguồn bên ngoài giúp đối chiếu hoạt động gắn kết khách. Bài viết không cho thấy phương pháp đếm lượt tham gia đã được kiểm toán độc lập.</t>
  </si>
  <si>
    <t>Experience / Sustainability / Biodiversity</t>
  </si>
  <si>
    <t>Nước mưa, nước xám &amp; xử lý bằng vùng đất ngập nước nhân tạo</t>
  </si>
  <si>
    <t>khu nghỉ dưỡng tổ chức các nature/wildlife tours với resident naturalist; Primate Appreciation Month được giới thiệu từ 2025 như hoạt động giáo dục định kỳ.</t>
  </si>
  <si>
    <t>Minh chứng trực tiếp cho việc phát triển bền vững/bảo tồn thiên nhiên trở thành một phần của trải nghiệm khách.</t>
  </si>
  <si>
    <t>Tái sử dụng rác thực phẩm &amp; nghiền thủy tinh</t>
  </si>
  <si>
    <t>Trong các nguồn cấp khu nghỉ dưỡng đã rà, chưa tìm thấy KPI cường độ sử dụng năng lượng/carbon hiệu suất riêng cho Banyan Tree Lang Co.</t>
  </si>
  <si>
    <t>Laguna Lăng Cô có dữ liệu phát triển bền vững ở cấp khu phức hợp, nhưng không nên tự động gán toàn bộ số liệu này cho Banyan Tree Lang Co.</t>
  </si>
  <si>
    <t>https://www.banyantree.com/vietnam/lang-co/sustainability</t>
  </si>
  <si>
    <t>Loại bỏ nhựa dùng một lần</t>
  </si>
  <si>
    <t>Trong các nguồn công khai đã rà, chưa tìm thấy chỉ số hiện tại riêng cho Banyan Tree Lang Co về cường độ sử dụng nước, tổng lượng nước, tỷ lệ tái sử dụng hoặc nước thải. Laguna Lăng Cô công bố riêng các số liệu ở cấp khu phức hợp.</t>
  </si>
  <si>
    <t>Tách riêng với số liệu hạ tầng của khu phức hợp Laguna Lăng Cô để tránh gán sai phạm vi.</t>
  </si>
  <si>
    <t>Rà soát nghiên cứu</t>
  </si>
  <si>
    <t>Current integrated-resort disclosure</t>
  </si>
  <si>
    <t>Thu mua thực phẩm địa phương &amp; nông hộ lân cận</t>
  </si>
  <si>
    <t>Laguna Lăng Cô công bố ở cấp khu phức hợp: 141.185 m³ nước thải được xử lý tại chỗ; 67% lượng nước tiêu thụ đến từ các nguồn nước thay thế. Không có số liệu tách riêng cho Banyan Tree Lang Co.</t>
  </si>
  <si>
    <t>m³ wastewater treated</t>
  </si>
  <si>
    <t>Phạm vi là toàn Laguna Lăng Cô; KHÔNG dùng chỉ số này như khu nghỉ dưỡng-KPI cụ thể của Banyan Tree. Có thể dùng để minh họa phát triển bền vững hạ tầng chung của điểm đến.</t>
  </si>
  <si>
    <t>Khu phức hợp Laguna Lăng Cô</t>
  </si>
  <si>
    <t>https://www.lagunalangco.com/sustainability/</t>
  </si>
  <si>
    <t>Lao động địa phương từ các cộng đồng dân tộc lân cận</t>
  </si>
  <si>
    <t>Trong các nguồn của Banyan Tree Lang Co đã rà, chưa tìm thấy KPI hiện tại riêng về chuyển hướng chất thải, giảm nhựa, phân hữu cơ hoặc bao bì; Laguna Lăng Cô công bố dữ liệu ở cấp điểm đến riêng.</t>
  </si>
  <si>
    <t>Khoảng trống công bố ở cấp khu nghỉ dưỡng; không thay bằng số liệu của toàn khu phức hợp.</t>
  </si>
  <si>
    <t>Housekeeping / F&amp;B / Sustainability</t>
  </si>
  <si>
    <t>Nghệ nhân, thủ công &amp; bản sắc văn hóa địa phương</t>
  </si>
  <si>
    <t>Laguna Lăng Cô công bố ở cấp khu phức hợp: 445.627 chai thủy tinh được sản xuất tại chỗ và 909 tấn phân hữu cơ được tạo từ rác hữu cơ. Không có số liệu tách riêng cho Banyan Tree Lang Co.</t>
  </si>
  <si>
    <t>glass bottles produced on-site</t>
  </si>
  <si>
    <t>Phạm vi là toàn Laguna Lăng Cô; giữ làm bối cảnh, không so sánh trực tiếp với cấp khu nghỉ dưỡng KPI chất thải của khu nghỉ dưỡng khác.</t>
  </si>
  <si>
    <t>Engineering / F&amp;B / Sustainability</t>
  </si>
  <si>
    <t>Workshop văn hóa &amp; eco-token</t>
  </si>
  <si>
    <t>Trong các trang công khai đã rà của Banyan Tree Lang Co, chưa tìm thấy tỷ lệ hoặc KPI định lượng hiện tại riêng cho thu mua địa phương/có trách nhiệm.</t>
  </si>
  <si>
    <t>Giữ để phân biệt cam kết thu mua với kết quả thu mua đã được đo lường.</t>
  </si>
  <si>
    <t>Green Leaf Initiative / tham gia làm sạch thung lũng</t>
  </si>
  <si>
    <t>Trang đa dạng sinh học của Banyan Tree Lang Co giới thiệu 15 loài chim tiêu biểu và tổ chức hoạt động quan sát chim có hướng dẫn miễn phí ba ngày mỗi tuần.</t>
  </si>
  <si>
    <t>signature bird species</t>
  </si>
  <si>
    <t>Output / practice</t>
  </si>
  <si>
    <t>Có số liệu định lượng cho trải nghiệm đa dạng sinh học dành cho khách, nhưng đây không phải chỉ báo kết quả về quần thể sinh thái.</t>
  </si>
  <si>
    <t>Guest Experience; Biodiversity; Integration</t>
  </si>
  <si>
    <t>Trang đa dạng sinh học của Banyan Tree Lang Co</t>
  </si>
  <si>
    <t>https://www.banyantree.com/vietnam/lang-co/biodiversity-at-banyan-tree-lang-co</t>
  </si>
  <si>
    <t>Mục tiêu giảm 10% / tiến độ 3%</t>
  </si>
  <si>
    <t>Stay for Good có các hoạt động quan sát chim và khám phá thiên nhiên/đa dạng sinh học trong điểm đến.</t>
  </si>
  <si>
    <t>Dành cho khách đa dạng sinh học minh chứng; chưa phải kết quả sinh thái.</t>
  </si>
  <si>
    <t>Guest Experience; Biodiversity</t>
  </si>
  <si>
    <t>Experience / Sustainability</t>
  </si>
  <si>
    <t>Banyan Tree Lang Co Stay for Good</t>
  </si>
  <si>
    <t>https://www.banyantree.com/vietnam/lang-co/experiences/stay-for-good</t>
  </si>
  <si>
    <t>Since 2015</t>
  </si>
  <si>
    <t>Dấu chân carbon theo đêm phòng</t>
  </si>
  <si>
    <t>Khu nghỉ dưỡng mô tả chương trình Seedlings Mentorship hỗ trợ học phí/vật dụng học tập và người hướng dẫn cho trẻ em địa phương đến tuổi 18.</t>
  </si>
  <si>
    <t>Cho thấy social phát triển bền vững đi theo hướng phát triển dài hạn thay vì chỉ donation một lần; chưa thấy kết quả học tập dài hạn.</t>
  </si>
  <si>
    <t>Community; Breadth; Evidence &amp; Transparency</t>
  </si>
  <si>
    <t>Community / Sustainability / HR</t>
  </si>
  <si>
    <t>Banyan Tree Lang Co Sustainability</t>
  </si>
  <si>
    <t>Dấu chân nước theo đêm phòng</t>
  </si>
  <si>
    <t>Chương trình đào tạo nghề dành cho thanh niên khó khăn 18–24 tuổi, hướng tới kỹ năng nghề và cơ hội việc làm.</t>
  </si>
  <si>
    <t>Có link rõ với human capital/việc làm nhưng chưa thấy số học viên hoặc placement tỷ lệ công khai trên trang.</t>
  </si>
  <si>
    <t>Community / HR / Learning &amp; Development</t>
  </si>
  <si>
    <t>Chai thủy tinh tái sử dụng</t>
  </si>
  <si>
    <t>Khu nghỉ dưỡng mô tả hợp tác với Nuoc Ngot Social Protection Center; một hướng hỗ trợ sinh kế là trồng Melaleuca để tạo nguyên liệu tinh dầu.</t>
  </si>
  <si>
    <t>Một example về cộng đồng sinh kế; chưa có income/chỉ số kết quả.</t>
  </si>
  <si>
    <t>Tái chế tại phòng khách</t>
  </si>
  <si>
    <t>Stay for Good giới thiệu các hoạt động thủ công/câu chuyện địa phương gắn với cộng đồng và trải nghiệm khách.</t>
  </si>
  <si>
    <t>Có tích hợp yếu tố văn hóa nhưng trang công khai chưa cung cấp kết quả định lượng về văn hóa.</t>
  </si>
  <si>
    <t>Breadth; Guest Experience; Community</t>
  </si>
  <si>
    <t>Experience / Culture / Community</t>
  </si>
  <si>
    <t>Thu mua protein / hải sản có trách nhiệm</t>
  </si>
  <si>
    <t>Banyan Tree Lang Co đưa các hoạt động Stay for Good vào trải nghiệm khách, gồm craft/cộng đồng và nature-oriented experiences.</t>
  </si>
  <si>
    <t>Cho thấy phát triển bền vững/cộng đồng không chỉ ở back-of-house mà được chuyển thành trải nghiệm khách.</t>
  </si>
  <si>
    <t>Experience / Community / Sustainability</t>
  </si>
  <si>
    <t>Cam kết bảo vệ đa dạng sinh học</t>
  </si>
  <si>
    <t>Topas mô tả vận hành tiết kiệm năng lượng và sử dụng các nguồn tái tạo; thông tin ASEAN Green Hotel 2026 cũng nêu việc ứng dụng năng lượng mặt trời trong vận hành.</t>
  </si>
  <si>
    <t>Có mô tả rõ thực hành năng lượng tái tạo/tiết kiệm, nhưng chưa công bố KPI hiện tại về kWh, cường độ năng lượng hoặc carbon.</t>
  </si>
  <si>
    <t>Engineering / Operations</t>
  </si>
  <si>
    <t>Topas Sustainable Development + ASEAN Green Hotel 2026 page</t>
  </si>
  <si>
    <t>https://topasecolodge.com/topas-ecolodge-recognized-as-asean-green-hotel-2026/</t>
  </si>
  <si>
    <t>Gây quỹ Road to Give / hỗ trợ học bổng</t>
  </si>
  <si>
    <t>Topas mô tả việc thu gom/xử lý nước mưa, tái sử dụng nước xám và xử lý nước thải. Công bố năm 2026 cũng cho biết mẫu nước uống Hydroloop kiểm tra tháng 9/2025 đạt các chỉ tiêu QCVN 01-1:2024/BYT.</t>
  </si>
  <si>
    <t>Hệ thống nước được mô tả rõ, nhưng nguồn công khai vẫn chưa cung cấp tổng lượng nước sử dụng hoặc cường độ nước.</t>
  </si>
  <si>
    <t>Engineering / Housekeeping / F&amp;B</t>
  </si>
  <si>
    <t>Topas Sustainable Development + ASEAN Green Hotel 2026 disclosure</t>
  </si>
  <si>
    <t>Vật liệu địa phương / thiết kế gợi nhắc làng chài</t>
  </si>
  <si>
    <t>Food chất thải được chuyển cho hộ dân/nông dân địa phương; chai thủy tinh được nghiền để tái sử dụng như vật liệu/cát trong công trình.</t>
  </si>
  <si>
    <t>Có tuần hoàn link giữa khu nghỉ dưỡng và cộng đồng, nhưng thiếu tỷ lệ chuyển hướng chất thải.</t>
  </si>
  <si>
    <t>Integration; Community; Evidence &amp; Transparency</t>
  </si>
  <si>
    <t>F&amp;B / Engineering / Community</t>
  </si>
  <si>
    <t>Topas Sustainable Development</t>
  </si>
  <si>
    <t>https://topasecolodge.com/sustainable-development/</t>
  </si>
  <si>
    <t>Nhắc nhở khách về bảo tồn / tham gia gây quỹ</t>
  </si>
  <si>
    <t>Topas cho biết đã loại bỏ nhựa dùng một lần, thay bằng túi bột gạo tự phân hủy, ống hút tre tái sử dụng và nước uống trong chai thủy tinh.</t>
  </si>
  <si>
    <t>Có mô tả khá rộng về thực hành hiện tại; chưa có KPI tổng khối lượng nhựa hoặc số chai giảm được trên trang.</t>
  </si>
  <si>
    <t>Rooms / F&amp;B / Housekeeping / Procurement</t>
  </si>
  <si>
    <t>Topas Ecolodge – ASEAN Green Hotel 2026 page</t>
  </si>
  <si>
    <t>Thiết kế thụ động / sử dụng một phần năng lượng mặt trời</t>
  </si>
  <si>
    <t>Công bố ASEAN Green Hotel 2026 của Topas Ecolodge cho biết hơn 80% thực phẩm và vật tư nhà hàng được mua trực tiếp từ các nông trại tại Bản Hồ, Nậm Cang và Thanh Kim.</t>
  </si>
  <si>
    <t>% food &amp; restaurant supplies sourced locally (&gt;)</t>
  </si>
  <si>
    <t>Thông tin mới hơn và rộng hơn ví dụ cũ về '3 nông hộ trong bán kính 15 km'. Tuy nhiên đây vẫn là số liệu doanh nghiệp tự công bố và chưa có mẫu số theo giá trị mua hàng/phương pháp kiểm toán.</t>
  </si>
  <si>
    <t>Community; Integration; Evidence &amp; Transparency</t>
  </si>
  <si>
    <t>F&amp;B / Procurement / Community</t>
  </si>
  <si>
    <t>Nước thải đã xử lý dùng để tưới</t>
  </si>
  <si>
    <t>Nguồn rà soát cho thấy khu nghỉ dưỡng nằm trong cảnh quan Hoàng Liên và có nhiều thực hành bảo vệ môi trường, nhưng chưa tìm thấy đa dạng sinh học kết quả KPI cụ thể.</t>
  </si>
  <si>
    <t>Nguồn rà soát cho thấy khu nghỉ dưỡng nằm trong cảnh quan Hoàng Liên và có nhiều hoạt động bảo vệ môi trường, nhưng chưa tìm thấy KPI kết quả đa dạng sinh học cụ thể.</t>
  </si>
  <si>
    <t>Sustainability / Environment</t>
  </si>
  <si>
    <t>https://topasecolodge.com/sustainable-tourism/</t>
  </si>
  <si>
    <t>Giảm chai nhựa dùng một lần</t>
  </si>
  <si>
    <t>Công bố năm 2026 của Topas Ecolodge cho biết hơn 98% nhân viên là người dân tộc thiểu số từ các bản xung quanh; một trang phát triển bền vững cũ hơn nêu khoảng 90%.</t>
  </si>
  <si>
    <t>% staff local ethnic minorities (&gt;)</t>
  </si>
  <si>
    <t>Sử dụng số liệu công bố mới nhất năm 2026; các trang chính thức cũ hơn nêu khoảng 90%, nên có thể khác thời điểm hoặc cách định nghĩa.</t>
  </si>
  <si>
    <t>HR / Community</t>
  </si>
  <si>
    <t>Chuyển hướng rác nhựa qua 2R Station</t>
  </si>
  <si>
    <t>Topas sử dụng địa phương artisans/crafts và mô tả việc hỗ trợ thu nhập cho nghệ nhân; kiến trúc/ẩm thực/trải nghiệm gắn với văn hóa địa phương.</t>
  </si>
  <si>
    <t>Culture gắn cả thu mua/cộng đồng và trải nghiệm khách; chưa có kết quả bảo tồn định lượng.</t>
  </si>
  <si>
    <t>Breadth; Community; Guest Experience</t>
  </si>
  <si>
    <t>Culture / Procurement / Experience / Community</t>
  </si>
  <si>
    <t>Làm sạch bãi biển Vườn quốc gia</t>
  </si>
  <si>
    <t>khách có thể tham gia hoạt động văn hóa; khu nghỉ dưỡng cũng mô tả eco-token/cơ chế khuyến khích khi khách bỏ dịch vụ buồng phòng để giảm sử dụng tài nguyên.</t>
  </si>
  <si>
    <t>khách được tham gia vào phát triển bền vững/culture thay vì chỉ nhận truyền thông thụ động.</t>
  </si>
  <si>
    <t>Experience / Housekeeping / Culture</t>
  </si>
  <si>
    <t>Sản lượng vườn hữu cơ</t>
  </si>
  <si>
    <t>Topas cho biết khu nghỉ dưỡng tổ chức thu gom rác quanh thung lũng và khuyến khích khách tham gia Green Leaf Initiative để bảo vệ cảnh quan Hoàng Liên Sơn.</t>
  </si>
  <si>
    <t>Hoạt động phát triển bền vững dành cho khách hiện tại; chưa tìm thấy số lượt tham gia công khai.</t>
  </si>
  <si>
    <t>Guest Experience; Community; Integration</t>
  </si>
  <si>
    <t>Experience / Sustainability / Community</t>
  </si>
  <si>
    <t>2025–2026</t>
  </si>
  <si>
    <t>Bảo tồn rùa xanh</t>
  </si>
  <si>
    <t>Sustainability in Action đặt mục tiêu giảm 10% phát thải liên quan năng lượng/nước/chất thải vào cuối 2026; tài liệu cho biết đến 31/12/2025 đạt 3% mức giảm.</t>
  </si>
  <si>
    <t>% reduction achieved</t>
  </si>
  <si>
    <t>Cần giữ đúng phạm vi của tài liệu; không suy ra 3% chỉ từ năng lượng.</t>
  </si>
  <si>
    <t>Engineering / Sustainability / Operations</t>
  </si>
  <si>
    <t>Marriott Sustainability in Action</t>
  </si>
  <si>
    <t>https://www.marriott.com/content/dam/marriott-digital/wi/apec/hws/c/cxrwi/en_us/document/assets/wi-cxrwi-sustainability-in-action-12187.pdf</t>
  </si>
  <si>
    <t>Trang tổng quan Marriott công bố dấu chân carbon của khu nghỉ dưỡng ở mức 83,50 kg CO2e trên mỗi đêm phòng.</t>
  </si>
  <si>
    <t>kg CO2e / room night</t>
  </si>
  <si>
    <t>KPI cường độ giúp theo dõi hiệu suất tốt hơn; số liệu vẫn do doanh nghiệp tự công bố.</t>
  </si>
  <si>
    <t>Trang tổng quan khu nghỉ dưỡng trên Marriott</t>
  </si>
  <si>
    <t>https://www.marriott.com/en-us/hotels/cxrwi-the-westin-resort-and-spa-cam-ranh/overview/</t>
  </si>
  <si>
    <t>Dạy tiếng Anh cho cộng đồng</t>
  </si>
  <si>
    <t>Trang tổng quan Marriott công bố dấu chân nước 4.539,37 lít trên mỗi đêm phòng.</t>
  </si>
  <si>
    <t>liters / room night</t>
  </si>
  <si>
    <t>Đây là một trong số ít chỉ số cường độ trong mẫu nghiên cứu; vẫn là số liệu doanh nghiệp tự công bố.</t>
  </si>
  <si>
    <t>Thiết kế lấy cảm hứng từ làng chài</t>
  </si>
  <si>
    <t>Từ tháng 1/2025, khu nghỉ dưỡng công bố đã tránh hơn 81.000 chai nước nhựa nhờ chuyển sang chai thủy tinh tái sử dụng.</t>
  </si>
  <si>
    <t>plastic bottles avoided (&gt;)</t>
  </si>
  <si>
    <t>Dành cho khách chất thải initiative có chỉ số rõ.</t>
  </si>
  <si>
    <t>Guest Experience; Evidence &amp; Transparency; Integration</t>
  </si>
  <si>
    <t>Rooms / F&amp;B / Sustainability</t>
  </si>
  <si>
    <t>Trang Trải nghiệm / phát triển bền vững của khu nghỉ dưỡng trên Marriott</t>
  </si>
  <si>
    <t>https://www.marriott.com/en-us/hotels/cxrwi-the-westin-resort-and-spa-cam-ranh/experiences/</t>
  </si>
  <si>
    <t>Trải nghiệm rùa nở / thả rùa</t>
  </si>
  <si>
    <t>Trang tổng quan Marriott liệt kê hoạt động tái chế tại phòng khách như một biện pháp phát triển bền vững.</t>
  </si>
  <si>
    <t>thực hành được công bố nhưng không có tỷ lệ chuyển hướng/tái chế.</t>
  </si>
  <si>
    <t>Housekeeping / Rooms</t>
  </si>
  <si>
    <t>Earth Lab / Green Journey / tìm hiểu khu vườn</t>
  </si>
  <si>
    <t>Khu nghỉ dưỡng cho biết ưu tiên các nguồn protein được nuôi/khai thác có trách nhiệm, tránh các loài dễ tổn thương và ưu tiên hải sản bền vững, nhưng chưa công bố tỷ lệ thu mua.</t>
  </si>
  <si>
    <t>Thực hành thu mua có trách nhiệm được mô tả cụ thể nhưng chưa được định lượng ở cấp khu nghỉ dưỡng.</t>
  </si>
  <si>
    <t>F&amp;B / Procurement</t>
  </si>
  <si>
    <t>Trang Trải nghiệm của khu nghỉ dưỡng trên Marriott</t>
  </si>
  <si>
    <t>https://www.marriott.com/vi/hotels/cxrwi-the-westin-resort-and-spa-cam-ranh/experiences/</t>
  </si>
  <si>
    <t>Thông gió tự nhiên / nước nóng năng lượng mặt trời / thiết kế tiết kiệm năng lượng</t>
  </si>
  <si>
    <t>Tài liệu Sustainability in Action của khu nghỉ dưỡng có cam kết bảo vệ và hỗ trợ đa dạng sinh học, nhưng chưa công bố KPI cụ thể về loài hoặc sinh cảnh ở cấp khu nghỉ dưỡng.</t>
  </si>
  <si>
    <t>Commitment</t>
  </si>
  <si>
    <t>Dùng để cho thấy phạm vi cam kết; không diễn giải thành hiệu suất đa dạng sinh học đã được đo lường.</t>
  </si>
  <si>
    <t>Sustainability / Landscaping / Operations</t>
  </si>
  <si>
    <t>Xử lý nước / nước thải tại chỗ</t>
  </si>
  <si>
    <t>khu nghỉ dưỡng cho biết đã đạt mục tiêu gây quỹ 1.000 USD năm 2025 cho Operation Smile Vietnam; năm 2026 đặt mục tiêu 2.000 USD cho học bổng tại Trường Tiểu học Sơn Tân.</t>
  </si>
  <si>
    <t>USD raised in 2025</t>
  </si>
  <si>
    <t>Yes – Community participation</t>
  </si>
  <si>
    <t>Có đầu ra xã hội cụ thể và mục tiêu tương lai, nhưng chưa chứng minh tác động dài hạn với người hưởng lợi.</t>
  </si>
  <si>
    <t>Community; Guest Experience; Evidence &amp; Transparency</t>
  </si>
  <si>
    <t>HR / Community / Front Office / Associates</t>
  </si>
  <si>
    <t>Marriott Sustainability in Action / property overview</t>
  </si>
  <si>
    <t>Mua số lượng lớn, tái chế &amp; tái sử dụng rác hữu cơ</t>
  </si>
  <si>
    <t>Trang tổng quan của khu nghỉ dưỡng mô tả thiết kế dùng vật liệu tự nhiên, mái xanh và lam gạch gợi liên hệ tới nghề/khung cảnh địa phương.</t>
  </si>
  <si>
    <t>Cultural/thiết kế interpretation, không phải heritage bảo tồn kết quả.</t>
  </si>
  <si>
    <t>Breadth; Guest Experience</t>
  </si>
  <si>
    <t>Design / Guest Experience</t>
  </si>
  <si>
    <t>Thu mua địa phương</t>
  </si>
  <si>
    <t>khu nghỉ dưỡng khuyến khích khách và người tham quan tiết kiệm nước, năng lượng, giảm rác và cho phép khách đóng góp trực tiếp cho hoạt động gây quỹ cộng đồng qua Front Desk.</t>
  </si>
  <si>
    <t>Yes – Visible / participatory</t>
  </si>
  <si>
    <t>Có hoạt động gắn kết khách nhưng chưa công bố tỷ lệ/số lượt tham gia.</t>
  </si>
  <si>
    <t>Front Office / Rooms / Sustainability / Community</t>
  </si>
  <si>
    <t>Khảo sát đa dạng sinh học cùng Wildlife At Risk</t>
  </si>
  <si>
    <t>Thông báo chứng nhận Control Union năm 2025 của Six Senses Con Dao mô tả việc sử dụng vật liệu tái chế, thông gió tự nhiên và một phần năng lượng mặt trời trong thiết kế và vận hành.</t>
  </si>
  <si>
    <t>Cho thấy năng lượng/thiết kế được tích hợp vào vận hành, nhưng chưa có KPI hiện tại về cường độ năng lượng hoặc sản lượng điện mặt trời ở cấp khu nghỉ dưỡng.</t>
  </si>
  <si>
    <t>Design / Engineering / Sustainability</t>
  </si>
  <si>
    <t>Six Senses Con Dao certification announcement</t>
  </si>
  <si>
    <t>https://www.sixsensescondao.com/six-senses-con-dao-achieves-prestigious-certification-by-control-union-a-gstc-accredited-certification-body/</t>
  </si>
  <si>
    <t>Phục hồi loài bản địa cùng WAR / Vườn quốc gia Phú Quốc</t>
  </si>
  <si>
    <t>Khu nghỉ dưỡng mô tả sử dụng nước thải đã xử lý để tưới khu vườn/cảnh quan.</t>
  </si>
  <si>
    <t>Tuần hoàn nước trong vận hành; chưa có tổng lượng/tỷ lệ tái sử dụng.</t>
  </si>
  <si>
    <t>Engineering / Landscaping / Sustainability</t>
  </si>
  <si>
    <t>Trang phát triển bền vững chính thức của khu nghỉ dưỡng</t>
  </si>
  <si>
    <t>https://www.sixsenses.com/en/hotels-resorts/asia-the-pacific/vietnam/con-dao/sustainability/</t>
  </si>
  <si>
    <t>Tuyển dụng lao động địa phương</t>
  </si>
  <si>
    <t>Khu nghỉ dưỡng công bố 97.656 chai nhựa dùng một lần được tránh trong năm 2025.</t>
  </si>
  <si>
    <t>plastic bottles avoided</t>
  </si>
  <si>
    <t>Đây là đầu ra chất thải có số liệu cụ thể, nhưng chưa phản ánh tổng lượng nhựa của khu nghỉ dưỡng.</t>
  </si>
  <si>
    <t>Thợ thủ công &amp; vật liệu địa phương</t>
  </si>
  <si>
    <t>Phối hợp với WWF và Đoàn Thanh niên Côn Đảo, 2R Station đã chuyển hướng 305 kg rác nhựa khỏi chôn lấp trong năm 2025.</t>
  </si>
  <si>
    <t>kg plastic diverted</t>
  </si>
  <si>
    <t>No – Community/destination-facing</t>
  </si>
  <si>
    <t>Có nêu rõ đối tác, nhưng con số vẫn lấy từ công bố của Six Senses nếu chưa có nguồn riêng đối chiếu.</t>
  </si>
  <si>
    <t>Community; Waste; Evidence &amp; Transparency</t>
  </si>
  <si>
    <t>Sustainability / Community / External partners</t>
  </si>
  <si>
    <t>Giảm / loại bỏ nhựa dùng một lần</t>
  </si>
  <si>
    <t>Khu nghỉ dưỡng công bố 1.763 kg rác được thu gom từ các bãi biển thuộc Vườn quốc gia trong 2025.</t>
  </si>
  <si>
    <t>kg trash collected</t>
  </si>
  <si>
    <t>cộng đồng/điểm đến hoạt động về chất thải; không phải khu nghỉ dưỡng chất thải-chuyển hướng KPI.</t>
  </si>
  <si>
    <t>Community; Biodiversity; Evidence &amp; Transparency</t>
  </si>
  <si>
    <t>Sustainability / Community / National Park</t>
  </si>
  <si>
    <t>Vườn hữu cơ / Cooking with Chef</t>
  </si>
  <si>
    <t>Khu vườn hữu cơ khoảng 3.000 m² cùng các hoạt động trồng trọt/chăn nuôi tại khu nghỉ dưỡng; khu nghỉ dưỡng công bố 5.641,70 kg rau tươi thu hoạch trong 2025.</t>
  </si>
  <si>
    <t>kg fresh vegetables</t>
  </si>
  <si>
    <t>Onsite sản xuất minh chứng; chưa có % tổng F&amp;B demand được đáp ứng.</t>
  </si>
  <si>
    <t>F&amp;B / Sustainability / Procurement</t>
  </si>
  <si>
    <t>Trồng rừng / phục hồi cây xanh</t>
  </si>
  <si>
    <t>Six Senses Con Dao công bố 3.818 rùa xanh nguy cấp nở và được thả về biển trong năm 2025, phối hợp với Con Dao Vườn quốc gia.</t>
  </si>
  <si>
    <t>turtles hatched/released</t>
  </si>
  <si>
    <t>Đầu ra bảo tồn khá rõ, nhưng không nên tự suy ra tác động dài hạn tới quần thể.</t>
  </si>
  <si>
    <t>Guest Experience; Biodiversity; Evidence &amp; Transparency</t>
  </si>
  <si>
    <t>Sustainability / National Park / Experience</t>
  </si>
  <si>
    <t>Khảo sát đa dạng sinh học / ghi nhận loài</t>
  </si>
  <si>
    <t>Khu nghỉ dưỡng mô tả chương trình nước for All với 12 máy lọc nước và 3.879 người trong cộng đồng được hưởng lợi.</t>
  </si>
  <si>
    <t>community beneficiaries</t>
  </si>
  <si>
    <t>Có chỉ số đầu ra xã hội rõ, nhưng chưa nên diễn giải thành kết quả sức khỏe dài hạn.</t>
  </si>
  <si>
    <t>Thay đổi BioScore theo Guardians of Earth</t>
  </si>
  <si>
    <t>Khu nghỉ dưỡng công bố 84 giờ lớp tiếng Anh cho cộng đồng trong năm 2025.</t>
  </si>
  <si>
    <t>hours</t>
  </si>
  <si>
    <t>Trang tiếng Anh báo cáo 84 giờ năm 2025; tiêu đề trang tiếng Việt cũng ghi 84 giờ nhưng phần nội dung chi tiết lại ghi 94 giờ. Giữ 84 giờ vì nhất quán giữa tiêu đề và trang tiếng Anh, đồng thời ghi nhận chênh lệch nội bộ của nguồn.</t>
  </si>
  <si>
    <t>Community / Learning &amp; Development</t>
  </si>
  <si>
    <t>Khu nghỉ dưỡng mô tả thiết kế lấy cảm hứng từ/giữ tinh thần của làng chài Côn Đảo trong kiến trúc khu nghỉ dưỡng.</t>
  </si>
  <si>
    <t>Cultural interpretation through thiết kế; chưa phải heritage kết quả.</t>
  </si>
  <si>
    <t>Design / Culture / Experience</t>
  </si>
  <si>
    <t>Trang chính thức của Six Senses</t>
  </si>
  <si>
    <t>Đội cảnh quan địa phương</t>
  </si>
  <si>
    <t>Khách được mời tìm hiểu và tham gia trải nghiệm thả rùa khi điều kiện/timing phù hợp, gắn bảo tồn trực tiếp với khách journey.</t>
  </si>
  <si>
    <t>Một case rõ về bảo tồn trở thành hospitality experience.</t>
  </si>
  <si>
    <t>Guest Experience; Integration; Biodiversity</t>
  </si>
  <si>
    <t>Experience / Sustainability / National Park</t>
  </si>
  <si>
    <t>Nghệ nhân bản địa &amp; thiết kế theo kiến trúc địa phương</t>
  </si>
  <si>
    <t>Các trang phát triển bền vững và trải nghiệm của khu nghỉ dưỡng mời khách tham gia Earth Lab, tour phát triển bền vững và các hoạt động học hỏi/thu hoạch tại vườn.</t>
  </si>
  <si>
    <t>Cho thấy phát triển bền vững được tích hợp rộng hơn bảo tồn rùa; chưa tìm thấy KPI tổng hợp về lượt khách tham gia.</t>
  </si>
  <si>
    <t>Experience / F&amp;B / Sustainability</t>
  </si>
  <si>
    <t>Các trang chính thức của Six Senses Con Dao</t>
  </si>
  <si>
    <t>Vườn hữu cơ / Cooking with the Chef / workshop văn hóa</t>
  </si>
  <si>
    <t>Mango Bay mô tả ưu tiên thông gió tự nhiên, điện mặt trời hot nước, natural light và các thiết bị/đèn tiết kiệm năng lượng để giảm nhu cầu điện.</t>
  </si>
  <si>
    <t>thiết kế-led năng lượng sttỷ lệgy, nhưng chưa thấy cường độ sử dụng năng lượng/carbon KPI.</t>
  </si>
  <si>
    <t>Design / Engineering / Rooms</t>
  </si>
  <si>
    <t>Trang Giới thiệu / Staying Green chính thức của Mango Bay</t>
  </si>
  <si>
    <t>https://mangobayphuquoc.com/en/about/</t>
  </si>
  <si>
    <t>Hiệu suất năng lượng – tổng điện &amp; cường độ</t>
  </si>
  <si>
    <t>Mango Bay mô tả bồn cầu lưu lượng thấp, lọc nước xám bằng bãi lọc trồng cây và tái sử dụng nước đã xử lý cho vườn/vườn ươm, cùng với quản lý bể tự hoại và nước thải.</t>
  </si>
  <si>
    <t>Có mô tả cụ thể cách xử lý/tái sử dụng nước, nhưng chưa công bố tổng lượng nước hằng năm hoặc cường độ sử dụng nước.</t>
  </si>
  <si>
    <t>Mức sử dụng nước theo đêm khách</t>
  </si>
  <si>
    <t>khu nghỉ dưỡng mô tả mua hàng bulk để giảm packaging, tái chế paper/glass và đưa organic/food chất thải cho vật nuôi hoặc mục đích tái sử dụng.</t>
  </si>
  <si>
    <t>Chất thải tuần hoàn thực hành nhưng thiếu chất thải chuyển hướng KPI.</t>
  </si>
  <si>
    <t>Procurement / F&amp;B / Housekeeping</t>
  </si>
  <si>
    <t>Rác chôn lấp</t>
  </si>
  <si>
    <t>Mango Bay công bố hơn 85% purchasing đến từ nhà cung cấp địa phương.</t>
  </si>
  <si>
    <t>% purchasing local suppliers (&gt;)</t>
  </si>
  <si>
    <t>Một quantified thu mua chỉ số mạnh; cần giữ đúng cách định nghĩa purchasing của khu nghỉ dưỡng.</t>
  </si>
  <si>
    <t>Procurement / F&amp;B / Community</t>
  </si>
  <si>
    <t>Historical / ongoing programme</t>
  </si>
  <si>
    <t>Loại bỏ nhựa dùng một lần trong hoạt động thu mua</t>
  </si>
  <si>
    <t>Wildlife At Risk mô tả các khảo sát đa dạng sinh học tại Phú Quốc và hoạt động có liên quan Mango Bay, gồm survey butterflies/dragonflies và pilot butterfly breeding.</t>
  </si>
  <si>
    <t>đối tác source giúp giảm phụ thuộc vào khu nghỉ dưỡng self-report; không coi survey counts là kết quả của khu nghỉ dưỡng.</t>
  </si>
  <si>
    <t>Evidence &amp; Transparency; Biodiversity</t>
  </si>
  <si>
    <t>Sustainability / Conservation partner</t>
  </si>
  <si>
    <t>Wildlife At Risk – Phu Quoc Programme</t>
  </si>
  <si>
    <t>https://wildlifeatrisk.org/2019/01/29/phu-quoc-programme/</t>
  </si>
  <si>
    <t>Since 2006 / historical partner evidence</t>
  </si>
  <si>
    <t>Xử lý rác hữu cơ bằng Waste2Green</t>
  </si>
  <si>
    <t>Mango Bay cho biết hỗ trợ Wildlife At Risk và Vườn quốc gia Phú Quốc trong việc thu thập, trồng lại cây họ Dầu (Dipterocarpus), một loài bản địa đang trở nên hiếm trên đảo.</t>
  </si>
  <si>
    <t>No – Conservation-facing</t>
  </si>
  <si>
    <t>Hoạt động bảo tồn kéo dài nhiều năm; chưa tìm thấy KPI về tỷ lệ sống hoặc kết quả sinh cảnh.</t>
  </si>
  <si>
    <t>Biodiversity; Community; Evidence &amp; Transparency</t>
  </si>
  <si>
    <t>Sustainability / External partner / National Park</t>
  </si>
  <si>
    <t>Trang Giới thiệu chính thức của Mango Bay</t>
  </si>
  <si>
    <t>Tỷ lệ nhà cung cấp địa phương</t>
  </si>
  <si>
    <t>Mango Bay công bố hơn 80% nhân sự là người địa phương, cùng các hoạt động đào tạo/support cho nhân viên.</t>
  </si>
  <si>
    <t>% staff local (&gt;)</t>
  </si>
  <si>
    <t>Có chỉ số xã hội/con người rõ; dữ liệu do doanh nghiệp tự công bố.</t>
  </si>
  <si>
    <t>Cảnh quan bản địa &amp; nâng cao nhận thức đa dạng sinh học</t>
  </si>
  <si>
    <t>Mango Bay mô tả sử dụng địa phương craftsmen và địa phương/recycled materials trong xây dựng/vận hành để phản ánh bối cảnh Phú Quốc.</t>
  </si>
  <si>
    <t>Có tích hợp yếu tố văn hóa/địa phương, nhưng chưa có chỉ số kết quả về bảo tồn di sản.</t>
  </si>
  <si>
    <t>Design / Procurement / Community</t>
  </si>
  <si>
    <t>Lao động địa phương</t>
  </si>
  <si>
    <t>Trong nguồn rà soát, chưa tìm thấy chỉ số hiện hành về số khách tham gia hoạt động phát triển bền vững/bảo tồn tại Mango Bay.</t>
  </si>
  <si>
    <t>khu nghỉ dưỡng có eco-thiết kế/nature positioning nhưng công bố khách-sự tham gia chưa cụ thể.</t>
  </si>
  <si>
    <t>2015 (historical)</t>
  </si>
  <si>
    <t>Gây quỹ Green Christmas hỗ trợ vùng lũ</t>
  </si>
  <si>
    <t>Wildlife At Risk ghi nhận triển lãm ảnh 'Lucky Wildlife' kéo dài một tháng tại Mango Bay năm 2015; khoảng 40 người dự khai mạc và hơn 40 ảnh về động vật hoang dã nguy cấp được trưng bày.</t>
  </si>
  <si>
    <t>opening attendees (approx.)</t>
  </si>
  <si>
    <t>Yes – Participatory / educational</t>
  </si>
  <si>
    <t>Bằng chứng lịch sử về giáo dục khách/công chúng; hữu ích để xem tính tiếp nối nhưng không phải KPI tham gia hiện tại.</t>
  </si>
  <si>
    <t>Experience / Conservation partner</t>
  </si>
  <si>
    <t>Wildlife At Risk</t>
  </si>
  <si>
    <t>https://wildlifeatrisk.org/activities/lastest-news/</t>
  </si>
  <si>
    <t>Thủ công &amp; hoạt động văn hóa địa phương</t>
  </si>
  <si>
    <t>Trong nguồn phát triển bền vững đã rà, chưa tìm thấy KPI cường độ sử dụng năng lượng hoặc phát thải carbon riêng của Avana.</t>
  </si>
  <si>
    <t>Dùng như một khoảng trống minh bạch; không kết luận rằng khu nghỉ dưỡng không có hoạt động.</t>
  </si>
  <si>
    <t>https://avanaretreat.com/sustainability</t>
  </si>
  <si>
    <t>Vườn hữu cơ Caman / trải nghiệm lớp nấu ăn</t>
  </si>
  <si>
    <t>Trong nguồn phát triển bền vững đã rà, chưa tìm thấy cường độ sử dụng nước / annual nước-use KPI riêng của Avana.</t>
  </si>
  <si>
    <t>Giúp so sánh đầu ra-heavy đa dạng sinh học công bố với resource-hiệu suất công bố.</t>
  </si>
  <si>
    <t>Thông tin đa dạng sinh học dành cho khách</t>
  </si>
  <si>
    <t>Avana mô tả định hướng hạn chế/loại bỏ nhiều sản phẩm nhựa dùng một lần trong vận hành và trải nghiệm khách.</t>
  </si>
  <si>
    <t>Không thấy plastic-mức giảm KPI cụ thể trong nguồn rà.</t>
  </si>
  <si>
    <t>Rooms / F&amp;B / Housekeeping</t>
  </si>
  <si>
    <t>Avana Retreat Sustainability</t>
  </si>
  <si>
    <t>Since 2023</t>
  </si>
  <si>
    <t>Thiết kế thụ động / điện mặt trời / thiết bị tiết kiệm năng lượng</t>
  </si>
  <si>
    <t>Avana phát triển organic garden và kết nối nguyên liệu/hoạt động này với trải nghiệm Cooking with Chef.</t>
  </si>
  <si>
    <t>thực hành nối sản xuất → F&amp;B → trải nghiệm khách.</t>
  </si>
  <si>
    <t>F&amp;B / Sustainability / Experience</t>
  </si>
  <si>
    <t>2018–2025</t>
  </si>
  <si>
    <t>Buggy điện dùng năng lượng mặt trời</t>
  </si>
  <si>
    <t>Avana công bố site 15 ha chỉ có khoảng 2 ha rừng năm 2018; trồng hơn 9.000 cây giai đoạn 2019–2021 và đến 2025 gần 12.000 cây trên site.</t>
  </si>
  <si>
    <t>trees (approx.)</t>
  </si>
  <si>
    <t>Đầu ra phục hồi rõ, nhưng không tự quy đổi thành kết quả carbon hoặc đa dạng sinh học nếu chưa có phương pháp phù hợp.</t>
  </si>
  <si>
    <t>Biodiversity; Evidence &amp; Transparency; Integration</t>
  </si>
  <si>
    <t>Landscaping / Sustainability / Operations</t>
  </si>
  <si>
    <t>Nguyên liệu địa phương trong F&amp;B</t>
  </si>
  <si>
    <t>Báo cáo Guardians of Earth 2025 ghi nhận 151 loài tại Avana. khu nghỉ dưỡng dẫn lại kết quả này và cho biết con số tương đương 74% số loài đã biết trong bộ dữ liệu so sánh Mai Châu của GOE.</t>
  </si>
  <si>
    <t>species recorded</t>
  </si>
  <si>
    <t>Đây là đánh giá của đối tác bên ngoài, không phải chứng nhận phát triển bền vững khách sạn. Số loài là đầu ra khảo sát; tỷ lệ 74% phụ thuộc bộ dữ liệu tham chiếu của GOE.</t>
  </si>
  <si>
    <t>Sustainability / External biodiversity platform</t>
  </si>
  <si>
    <t>Guardians of Earth – Biocultural Health Report 2025</t>
  </si>
  <si>
    <t>https://avanaretreat.com/storage/2025/09/Biocultural-Health-Report-Avana-Retreat-2025.pdf</t>
  </si>
  <si>
    <t>Bảo tồn cây lâu năm / cảnh quan xanh</t>
  </si>
  <si>
    <t>Avana/GOE báo cáo BioScore tăng từ 4.972,12 lên 6.793,94, tương ứng tăng 24,6%; Biocultural Units tăng từ 5,4 lên 6,4.</t>
  </si>
  <si>
    <t>% BioScore increase</t>
  </si>
  <si>
    <t>Outcome indicator (proprietary index)</t>
  </si>
  <si>
    <t>Cần dùng thận trọng: BioScore là chỉ số sinh học – văn hóa riêng của đối tác, không phải KPI đa dạng sinh học chuẩn hóa cho khách sạn.</t>
  </si>
  <si>
    <t>Evidence &amp; Transparency; Biodiversity; Interesting Case</t>
  </si>
  <si>
    <t>Sustainability / External assessment</t>
  </si>
  <si>
    <t>2025–2026 current pages</t>
  </si>
  <si>
    <t>Thiết kế &amp; kể chuyện văn hóa Mekong</t>
  </si>
  <si>
    <t>Trang đa dạng sinh học hiện tại của Avana nêu 98% nhân viên là người Thái, H’Mông và Mường địa phương; một số trang phát triển bền vững khác và báo cáo Guardians of Earth 2025 nêu 90%.</t>
  </si>
  <si>
    <t>% staff local (current biodiversity page)</t>
  </si>
  <si>
    <t>Có chênh lệch nguồn: 98% trên trang đa dạng sinh học hiện tại và 90% trên các trang khác/báo cáo GOE 2025. Không gộp hai số; có thể do khác thời điểm hoặc cách định nghĩa.</t>
  </si>
  <si>
    <t>Trang đa dạng sinh học của Avana Retreat</t>
  </si>
  <si>
    <t>https://avanaretreat.com/biodiversity</t>
  </si>
  <si>
    <t>Các yếu tố bền vững trong trải nghiệm khách</t>
  </si>
  <si>
    <t>Sustainability page nêu đội landscaping địa phương gồm 11 người phụ trách chăm sóc/phục hồi cảnh quan.</t>
  </si>
  <si>
    <t>local landscaping staff</t>
  </si>
  <si>
    <t>Minh chứng việc làm cụ thể, dù quy mô còn nhỏ.</t>
  </si>
  <si>
    <t>Landscaping / HR / Sustainability</t>
  </si>
  <si>
    <t>khu nghỉ dưỡng mô tả villas/bungalows được phát triển với hướng dẫn/tham gia của nghệ nhân từ các nhóm dân tộc tại Mai Châu, đưa địa phương building knowledge vào thiết kế.</t>
  </si>
  <si>
    <t>Tích hợp văn hóa/thiết kế khá rõ; chưa có chỉ số về kết quả văn hóa.</t>
  </si>
  <si>
    <t>Culture; Community; Integration; Guest Experience</t>
  </si>
  <si>
    <t>Design / Culture / Community</t>
  </si>
  <si>
    <t>Khách có thể tham quan vườn thảo mộc hữu cơ, tự thu hoạch nguyên liệu cho trải nghiệm nấu ăn và tham gia các hoạt động văn hóa địa phương do nghệ nhân địa phương hướng dẫn hoặc đóng góp nội dung.</t>
  </si>
  <si>
    <t>Ví dụ tốt về tích hợp giữa đất đai, F&amp;B, văn hóa và trải nghiệm khách.</t>
  </si>
  <si>
    <t>Guest Experience; Integration; Culture</t>
  </si>
  <si>
    <t>F&amp;B / Experience / Culture / Sustainability</t>
  </si>
  <si>
    <t>Các trang phát triển bền vững của Avana Retreat</t>
  </si>
  <si>
    <t>https://avanaretreat.com/sustainability/organic-life.html</t>
  </si>
  <si>
    <t>Sustainability Report 2024–2025 báo cáo tổng điện tiêu thụ giảm 12,4%; mức điện năm 2025 là 2,81 kWh trên mỗi đêm khách.</t>
  </si>
  <si>
    <t>kWh / guest night</t>
  </si>
  <si>
    <t>Có chỉ số cường độ và mức thay đổi theo năm; vẫn là số liệu doanh nghiệp tự công bố, chưa xem là đã xác minh độc lập.</t>
  </si>
  <si>
    <t>Engineering / Operations / Sustainability</t>
  </si>
  <si>
    <t>Silk Sense Sustainability Report 2024–2025</t>
  </si>
  <si>
    <t>https://silksenseresort.com/wp-content/uploads/2026/03/Travelife-V4.pdf</t>
  </si>
  <si>
    <t>Report cho biết nước per đêm khách giảm từ 0,71 m³ năm 2024 xuống 0,68 m³ năm 2025, trong bối cảnh occupancy tăng 14,8%.</t>
  </si>
  <si>
    <t>m³ / guest night</t>
  </si>
  <si>
    <t>Đây là chỉ số hiệu suất theo cường độ, hữu ích hơn việc chỉ nêu tổng lượng nước.</t>
  </si>
  <si>
    <t>Sustainability Report 2024–2025 nêu 1.536 kg rác chôn lấp trong phần key hiệu suất highlights; report mô tả landfill giảm nhờ phân loại tốt hơn và giảm bao bì nhựa.</t>
  </si>
  <si>
    <t>kg landfilled waste</t>
  </si>
  <si>
    <t>Có chỉ số cụ thể nhưng cần mốc cơ sở đầy đủ nếu muốn tính % mức giảm.</t>
  </si>
  <si>
    <t>Housekeeping / F&amp;B / Engineering / Sustainability</t>
  </si>
  <si>
    <t>Report cho thấy phạm vi loại bỏ single-use plastic trong mua sắm mở rộng từ F&amp;B và Housekeeping năm 2024 sang toàn khu nghỉ dưỡng năm 2025, bao gồm Spa và Engineering.</t>
  </si>
  <si>
    <t>Case rõ về tích hợp vào vận hành: chính sách giảm nhựa mở rộng từ vài bộ phận sang toàn khu nghỉ dưỡng.</t>
  </si>
  <si>
    <t>Procurement / F&amp;B / Housekeeping / Spa / Engineering</t>
  </si>
  <si>
    <t>2024</t>
  </si>
  <si>
    <t>Silk Sense cho biết gần 24 tấn rác hữu cơ đã được xử lý bằng hệ thống Waste2Green trong năm 2024 và chuyển thành phân hữu cơ tại chỗ.</t>
  </si>
  <si>
    <t>tons organic waste treated (approx.)</t>
  </si>
  <si>
    <t>Đầu ra tuần hoàn rõ, nhưng bài viết do doanh nghiệp công bố và không nên xem là đã được kiểm toán độc lập.</t>
  </si>
  <si>
    <t>F&amp;B / Waste / Landscaping / Sustainability</t>
  </si>
  <si>
    <t>Bài viết phát triển bền vững chính thức của Silk Sense</t>
  </si>
  <si>
    <t>https://silksenseresort.com/what-materials-has-silk-sense-used-to-replace-plastic-to-become-vietnams-pioneering-green-resort/</t>
  </si>
  <si>
    <t>Report cho biết tỷ lệ nhà cung cấp địa phương tăng từ 58% năm 2024 lên 80% năm 2025; ưu tiên suppliers tại Hội An – Đà Nẵng.</t>
  </si>
  <si>
    <t>% local suppliers</t>
  </si>
  <si>
    <t>Một trong các thu mua KPI rõ nhất trong sample; là supplier share, không đồng nghĩa 80% thu mua spend.</t>
  </si>
  <si>
    <t>Evidence &amp; Transparency; Community; Integration</t>
  </si>
  <si>
    <t>Báo cáo mô tả khu nghỉ dưỡng duy trì cây bản địa, mặt nước và không gian xanh; thông tin đa dạng sinh học được trưng bày tại Front Office và phòng khách, đồng thời nhân viên được đào tạo về đa dạng sinh học.</t>
  </si>
  <si>
    <t>Có tích hợp giữa cảnh quan, nâng cao nhận thức cho nhân viên và truyền thông tới khách, nhưng chưa có KPI kết quả sinh thái.</t>
  </si>
  <si>
    <t>Landscaping / Front Office / Rooms / HR / Sustainability</t>
  </si>
  <si>
    <t>Sustainability Report 2024–2025 công bố 95% nhân viên là người địa phương.</t>
  </si>
  <si>
    <t>% staff local</t>
  </si>
  <si>
    <t>Chỉ số xã hội khá rõ; chưa tự động chứng minh thay đổi về lương, nghề nghiệp hoặc sinh kế.</t>
  </si>
  <si>
    <t>HR / Operations</t>
  </si>
  <si>
    <t>Silk Sense cho biết đã gây quỹ 70.000.000 VND thông qua một hoạt động văn hóa có sự tham gia của khách/cộng đồng và chuyển khoản này vào quỹ cứu trợ lũ của Saigon Times.</t>
  </si>
  <si>
    <t>VND raised/donated</t>
  </si>
  <si>
    <t>Đầu ra gây quỹ cộng đồng cụ thể, nhưng chưa phải kết quả xã hội dài hạn.</t>
  </si>
  <si>
    <t>Community / Experience / Events</t>
  </si>
  <si>
    <t>Trang phát triển bền vững chính thức của Silk Sense</t>
  </si>
  <si>
    <t>https://silksenseresort.com/sustainability/</t>
  </si>
  <si>
    <t>Báo cáo cho biết khu nghỉ dưỡng ưu tiên nông sản, hàng thủ công và nguyên liệu bếp từ các nhà cung cấp địa phương, đồng thời hỗ trợ các hoạt động văn hóa và lễ hội cộng đồng.</t>
  </si>
  <si>
    <t>Minh chứng về tích hợp văn hóa/cộng đồng; chưa có chỉ số kết quả cho bảo tồn văn hóa.</t>
  </si>
  <si>
    <t>Culture; Community; Breadth</t>
  </si>
  <si>
    <t>Procurement / Community / Experience</t>
  </si>
  <si>
    <t>Caman Village cung cấp rau và thảo mộc hữu cơ cho nhà hàng của khu nghỉ dưỡng, đồng thời được sử dụng cho hoạt động khám phá và lớp nấu ăn dành cho khách.</t>
  </si>
  <si>
    <t>Cho thấy sự kết nối từ nông trại đến bàn ăn giữa thu mua, F&amp;B và trải nghiệm khách.</t>
  </si>
  <si>
    <t>Guest Experience; Integration; Food</t>
  </si>
  <si>
    <t>F&amp;B / Garden / Experience / Sustainability</t>
  </si>
  <si>
    <t>https://silksenseresort.com/vi/sustainability/</t>
  </si>
  <si>
    <t>Thông tin đa dạng sinh học được trưng bày tại Front Office và trong phòng khách, đưa nội dung phát triển bền vững vào hành trình trải nghiệm của khách.</t>
  </si>
  <si>
    <t>Hoạt động dành cho khách chủ yếu ở mức quan sát/giáo dục; chưa có KPI về số lượt tham gia.</t>
  </si>
  <si>
    <t>Front Office / Rooms / Sustainability</t>
  </si>
  <si>
    <t>2018 historical owner report</t>
  </si>
  <si>
    <t>Báo cáo Phát triển Bền vững 2018 của Novaland ghi nhận trạm điện mặt trời 500 kWp tại dự án Legacy Mekong, cùng các giải pháp tiết kiệm năng lượng trong thiết kế/vận hành.</t>
  </si>
  <si>
    <t>kWp solar station (historical project)</t>
  </si>
  <si>
    <t>Output / infrastructure</t>
  </si>
  <si>
    <t>Bằng chứng lịch sử ở cấp chủ sở hữu/dự án; không xem là hiệu suất hiện tại năm 2026 của Legacy Mekong nếu chưa có dữ liệu vận hành cập nhật.</t>
  </si>
  <si>
    <t>Design / Engineering / Operations</t>
  </si>
  <si>
    <t>Novaland Sustainability Report 2018</t>
  </si>
  <si>
    <t>https://www.novaland.com.vn/Data/Sites/1/media/phat-trien-ben-vung/bao-cao-ptbv/nvl_sr2018_en_0606_final.pdf</t>
  </si>
  <si>
    <t>Historical</t>
  </si>
  <si>
    <t>Novaland công bố hệ thống buggy điện được trang bị điện mặt trời; thông tin mô tả quãng đường khoảng 100 km/charge và tốc độ trung bình 22–24 km/h.</t>
  </si>
  <si>
    <t>km per charge (reported)</t>
  </si>
  <si>
    <t>lịch sử technology/đầu ra data; không suy ra toàn khu nghỉ dưỡng carbon mức giảm.</t>
  </si>
  <si>
    <t>Transportation / Operations</t>
  </si>
  <si>
    <t>Thông tin chính thức trước đây của chủ sở hữu</t>
  </si>
  <si>
    <t>https://www.novaland.com.vn/ung-dung-he-thong-xe-dien-buggy-chay-bang-nang-luong-mat-troi-tai-azerai-can-tho-resort</t>
  </si>
  <si>
    <t>Trong các nguồn chính thức hiện tại đã rà, chưa tìm thấy nước-use/reuse KPI cụ thể của Legacy Mekong.</t>
  </si>
  <si>
    <t>Quan trọng để phản ánh mức độ công bố thấp hơn các khu nghỉ dưỡng có báo cáo phát triển bền vững riêng.</t>
  </si>
  <si>
    <t>https://azerai.com/azerai-can-tho/accommodations/</t>
  </si>
  <si>
    <t>Trong các nguồn chính thức hiện tại đã rà, chưa tìm thấy chất thải chuyển hướng, plastic mức giảm hoặc tái chế KPI cụ thể.</t>
  </si>
  <si>
    <t>Không đồng nghĩa hoạt động không tồn tại.</t>
  </si>
  <si>
    <t>Operations / Housekeeping / Sustainability</t>
  </si>
  <si>
    <t>Marriott hiện cho biết The Café sử dụng nguyên liệu tươi tại địa phương; The Grill chế biến món ăn với nguyên liệu địa phương</t>
  </si>
  <si>
    <t>Bằng chứng ở cấp cơ sở, chưa có tỷ lệ chi tiêu/khối lượng mua</t>
  </si>
  <si>
    <t>Community; Localisation; Evidence &amp; Transperency</t>
  </si>
  <si>
    <t xml:space="preserve">F&amp;B / Procurement </t>
  </si>
  <si>
    <t>Trang Ẩm thực của khu nghỉ dưỡng trên Marriott</t>
  </si>
  <si>
    <t>https://www.marriott.com/en-us/hotels/vcalm-legacy-mekong-can-tho-autograph-collection/dining/</t>
  </si>
  <si>
    <t>Current destination page / historical continuity</t>
  </si>
  <si>
    <t>Trang Legacy Mekong hiện tại của cơ quan du lịch Cần Thơ cho biết khu nghỉ dưỡng bảo tồn các cây gần trăm năm tuổi như một phần 'di sản xanh' và phát triển cảnh quan theo hướng tôn trọng thiên nhiên.</t>
  </si>
  <si>
    <t>D – Xác nhận từ nguồn du lịch công khai bên ngoài</t>
  </si>
  <si>
    <t>Nguồn điểm đến bên ngoài xác nhận việc bảo tồn cảnh quan; đây không phải kết quả đa dạng sinh học định lượng.</t>
  </si>
  <si>
    <t>Biodiversity; Culture; Evidence &amp; Transparency</t>
  </si>
  <si>
    <t>Design / Landscaping / Operations</t>
  </si>
  <si>
    <t>Trang điểm đến của cơ quan du lịch Cần Thơ</t>
  </si>
  <si>
    <t>https://tourismcantho.vn/resort-azerai-can-tho/</t>
  </si>
  <si>
    <t>Marriott mô tả trải nghiệm đón khách bằng vòng lá dừa, đồ uống thảo mộc và nghi thức truyền thống; ẩm thực nhấn mạnh di sản Mekong, cùng các chi tiết kể chuyện như 'Breakfast with a Story' và túi hạt giống mang về.</t>
  </si>
  <si>
    <t>Bằng chứng hiện tại cho thấy văn hóa địa phương được đưa vào thiết kế, ẩm thực và hành trình khách. Dừng ở mức mô tả, chưa có số liệu định lượng</t>
  </si>
  <si>
    <t>Culture; Guest Experience; Integration</t>
  </si>
  <si>
    <t>Design / F&amp;B / Experience</t>
  </si>
  <si>
    <t>Thông cáo khai trương của Marriott International</t>
  </si>
  <si>
    <t>https://www.prnewswire.com/apac/news-releases/marriott-international-celebrates-700th-hotel-in-asia-pacific-excluding-china-with-the-opening-of-legacy-mekong-can-tho-autograph-collection-in-vietnam-302628879.html</t>
  </si>
  <si>
    <t>Gói Private Villa Retreat của Marriott mô tả các 'sustainable touches' trong villa, gồm hoạt động trồng xương rồng xanh; các trải nghiệm khác tiếp tục gắn với câu chuyện và ẩm thực Mekong.</t>
  </si>
  <si>
    <t>Bằng chứng hiện tại về hoạt động phát triển bền vững có sự tham gia của khách, nhưng mới giới hạn ở một gói trải nghiệm cụ thể; chưa có số liệu về số người tham gia hoặc tác động sau trải nghiệm.</t>
  </si>
  <si>
    <t>Rooms / Experience</t>
  </si>
  <si>
    <t>Trang ưu đãi của khu nghỉ dưỡng trên Marriott</t>
  </si>
  <si>
    <t>https://www.marriott.com/offers/legacy-mekong-private-villa-retreat-off-207816/vcalm-legacy-mekong-can-tho-autograph-collection</t>
  </si>
  <si>
    <t>Lao động địa phương / kết quả cộng đồng</t>
  </si>
  <si>
    <t>Trong nguồn chính thức hiện tại đã rà, chưa tìm thấy KPI về lao động địa phương, người trong cộng đồng hưởng lợi hoặc sinh kế programme.</t>
  </si>
  <si>
    <t>Không kết luận khu nghỉ dưỡng không có cộng đồng hoạt động; chỉ phản ánh công bố công khai.</t>
  </si>
  <si>
    <t>Phạm vi</t>
  </si>
  <si>
    <t>Management / Integration Practice</t>
  </si>
  <si>
    <t>Thông tin lọc được</t>
  </si>
  <si>
    <t>Metric</t>
  </si>
  <si>
    <t>Unit</t>
  </si>
  <si>
    <t>Evidence Type</t>
  </si>
  <si>
    <t>Nguồn từ</t>
  </si>
  <si>
    <t>Cấp khu nghỉ dưỡng</t>
  </si>
  <si>
    <t>2024–2027</t>
  </si>
  <si>
    <t>Chứng nhận theo tiêu chuẩn được GSTC công nhận</t>
  </si>
  <si>
    <t>Six Senses Ninh Van Bay có tên trong Danh bạ Khách sạn được chứng nhận GSTC; Tổ chức chứng nhận: Control Union (GSTC-I); mã chứng nhận GSTC HACU240332-12; chu kỳ 30/12/2024–29/12/2027.</t>
  </si>
  <si>
    <t>Cốt lõi</t>
  </si>
  <si>
    <t>A – Xác minh độc lập</t>
  </si>
  <si>
    <t>GSTC Certified Hotels Directory</t>
  </si>
  <si>
    <t>Xác minh</t>
  </si>
  <si>
    <t>Bằng chứng độc lập về trạng thái chứng nhận; không dùng để nói từng KPI của khu nghỉ dưỡng đã được GSTC kiểm toán công khai.</t>
  </si>
  <si>
    <t>https://www.gstc.org/certified-hotels-directory/</t>
  </si>
  <si>
    <t>Thương hiệu → khu nghỉ dưỡng</t>
  </si>
  <si>
    <t>Hiện tại</t>
  </si>
  <si>
    <t>Regenerative Impact Fund</t>
  </si>
  <si>
    <t>Six Senses quy định mỗi khu nghỉ dưỡng quản lý Regenerative Impact Fund, gồm 0,5% tổng doanh thu khách sạn cùng nguồn thu từ bán mascot/quyên góp để đầu tư vào các dự án cộng đồng, sinh cảnh và động vật hoang dã tại địa phương.</t>
  </si>
  <si>
    <t>% tổng doanh thu</t>
  </si>
  <si>
    <t>Six Senses brand sustainability / impacts</t>
  </si>
  <si>
    <t>Cho thấy phát triển bền vững được gắn với cơ chế nguồn tài chính ở cấp khu nghỉ dưỡng; chưa thấy số tiền tuyệt đối riêng của Ninh Van Bay.</t>
  </si>
  <si>
    <t>Climate Action Plan / phạm vi liên phòng ban</t>
  </si>
  <si>
    <t>Six Senses mô tả quản lý khí hậu/phát triển bền vững bao quát vận hành, chất thải và tuần hoàn, đa dạng sinh học, nước, nhà cung cấp, khách và nhân viên.</t>
  </si>
  <si>
    <t>Bổ trợ</t>
  </si>
  <si>
    <t>Six Senses brand impacts page</t>
  </si>
  <si>
    <t>Cho thấy phát triển bền vững được mô tả theo hướng liên phòng ban ở cấp thương hiệu; chưa phải kết quả ở cấp khu nghỉ dưỡng.</t>
  </si>
  <si>
    <t>Vị trí Sustainability Director chuyên trách</t>
  </si>
  <si>
    <t>Six Senses công bố Sustainability Directors tại các khách sạn để dẫn dắt hoạt động tạo tác động tích cực của từng khu nghỉ dưỡng; Earth Labs hỗ trợ gắn kết và đổi mới.</t>
  </si>
  <si>
    <t>Six Senses corporate press release</t>
  </si>
  <si>
    <t>Bổ sung bằng chứng về cấu trúc quản trị/vai trò phụ trách phát triển bền vững; nguồn là doanh nghiệp tự công bố.</t>
  </si>
  <si>
    <t>https://www.sixsenses.com/en/corporate/media-center/press-releases/2025/control-union-gstc-certification/</t>
  </si>
  <si>
    <t>Theo dõi môi trường &amp; đối sánh với Cornell</t>
  </si>
  <si>
    <t>Six Senses cho biết các khu nghỉ dưỡng theo dõi/đo lường nỗ lực môi trường và toàn bộ khách sạn/khu nghỉ dưỡng đóng góp dữ liệu cho Cornell Hotel Sustainability Benchmarking.</t>
  </si>
  <si>
    <t>Quan trọng cho góc nhìn quản lý; chưa thấy điểm đối sánh công khai riêng của Ninh Van Bay.</t>
  </si>
  <si>
    <t>Giải HICAP về Hành động Khí hậu &amp; Đa dạng sinh học</t>
  </si>
  <si>
    <t>HICAP 2024 Giải thưởng Khách sạn Bền vững công bố Six Senses Ninh Van Bay là đơn vị thắng giải hạng mục Hành động Khí hậu &amp; Đa dạng sinh học.</t>
  </si>
  <si>
    <t>A2 – Ghi nhận độc lập</t>
  </si>
  <si>
    <t>HICAP / BHN Group</t>
  </si>
  <si>
    <t>Ghi nhận</t>
  </si>
  <si>
    <t>Ghi nhận bên ngoài, không tương đương kiểm toán từng KPI phát triển bền vững.</t>
  </si>
  <si>
    <t>https://www.burba.com/HICAP/News/HICAP-2024-Sustainable-Award-Winners</t>
  </si>
  <si>
    <t>Chứng nhận Green Globe</t>
  </si>
  <si>
    <t>Green Globe có trang riêng xác nhận InterContinental Danang Sun Peninsula Resort trong chương trình chứng nhận; khu nghỉ dưỡng cũng tự công bố trạng thái Green Globe Certified.</t>
  </si>
  <si>
    <t>Dùng để xác minh chứng nhận trạng thái; không coi chứng nhận là kiểm toán công khai của từng KPI khu nghỉ dưỡng.</t>
  </si>
  <si>
    <t>Kế hoạch Quản lý Phát triển bền vững</t>
  </si>
  <si>
    <t>Khu nghỉ dưỡng công khai Kế hoạch Quản lý Phát triển Bền vững 2026–2027, cấu trúc theo các cam kết về Môi trường, Xã hội – Văn hóa, Chất lượng và Sức khỏe – An toàn, đồng thời mô tả theo dõi/chính sách cho vận hành.</t>
  </si>
  <si>
    <t>Minh chứng mạnh về quản lý/tích hợp; phần lớn dữ liệu hiệu suất trong kế hoạch vẫn định tính.</t>
  </si>
  <si>
    <t>2025–2028</t>
  </si>
  <si>
    <t>Danh bạ Khách sạn được chứng nhận GSTC liệt kê Banyan Tree Lang Co; Tổ chức chứng nhận: Control Union (GSTC-I); chu kỳ 16/12/2025–15/12/2028; chứng nhận GSTC HACU250270-1.</t>
  </si>
  <si>
    <t>Bằng chứng chứng nhận độc lập ở cấp khu nghỉ dưỡng; không dùng để xác minh từng KPI khác.</t>
  </si>
  <si>
    <t>Green Imperative Fund</t>
  </si>
  <si>
    <t>Banyan Tree Lang Co mô tả Green Imperative Fund với khoản đóng góp tự động tính nhưng khách có thể từ chối 2 USD mỗi đêm phòng để hỗ trợ các sáng kiến môi trường/cộng đồng.</t>
  </si>
  <si>
    <t>USD / đêm phòng</t>
  </si>
  <si>
    <t>Cho thấy cơ chế tài chính gắn với kỳ nghỉ; chưa thấy số liệu phân tách kết quả của riêng khu nghỉ dưỡng trên trang.</t>
  </si>
  <si>
    <t>Bối cảnh khu phức hợp</t>
  </si>
  <si>
    <t>2022</t>
  </si>
  <si>
    <t>EarthCheck Gold – Laguna Lăng Cô</t>
  </si>
  <si>
    <t>EarthCheck công bố Laguna Lăng Cô giữ EarthCheck Gold năm 2022. Đây là lịch sử chứng nhận của khu phức hợp, không phải bằng chứng hiện tại riêng cho Banyan Tree Lang Co.</t>
  </si>
  <si>
    <t>EarthCheck</t>
  </si>
  <si>
    <t>Giữ như lịch sử/phạm vi context; không dùng để công bố hiện tại Banyan Tree chứng nhận.</t>
  </si>
  <si>
    <t>https://earthcheck.org/news/laguna-golf-lang-co-retains-earthcheck-gold/</t>
  </si>
  <si>
    <t>Giải Khách sạn Xanh ASEAN 2026</t>
  </si>
  <si>
    <t>Nguồn thuộc hệ thống thông tin du lịch Việt Nam công bố Topas Ecolodge là một trong các cơ sở Việt Nam nhận ASEAN Green Hotel Award 2026.</t>
  </si>
  <si>
    <t>Viet Nam public-sector / national press confirmation</t>
  </si>
  <si>
    <t>Giải thưởng được nguồn công lập/báo chí quốc gia Việt Nam xác nhận; đây là ghi nhận bên ngoài, không tương đương kiểm toán từng KPI của khu nghỉ dưỡng.</t>
  </si>
  <si>
    <t>https://en.nhandan.vn/viet-nam-reaps-a-bountiful-harvest-at-the-asean-tourism-awards-2026-post158773.html</t>
  </si>
  <si>
    <t>Cách tiếp cận quản lý du lịch bền vững / CSR</t>
  </si>
  <si>
    <t>Topas công khai các nguyên tắc vận hành về địa phương employment, sourcing, energy, nước, chất thải, văn hóa và cộng đồng trên sustainable tourism/development trangs.</t>
  </si>
  <si>
    <t>Topas official sustainability pages</t>
  </si>
  <si>
    <t>Cho thấy phát triển bền vững được mô tả theo hướng liên phòng ban; chưa thấy báo cáo hiệu suất hiện tại với các KPI cường độ.</t>
  </si>
  <si>
    <t>Mục tiêu &amp; theo dõi tiến độ trong Sustainability in Action</t>
  </si>
  <si>
    <t>Khu nghỉ dưỡng công bố mục tiêu 10% mức giảm vào cuối 2026 và cập nhật tiến độ 3% đến 31/12/2025 trong Sustainability in Action tài liệu.</t>
  </si>
  <si>
    <t>% mục tiêu giảm</t>
  </si>
  <si>
    <t>Có mục tiêu + tiến độ công bố; cần giữ đúng indicator phạm vi nêu trong tài liệu.</t>
  </si>
  <si>
    <t>Travelife Certified – doanh nghiệp công bố</t>
  </si>
  <si>
    <t>Trang tổng quan Marriott hiển thị trạng thái 'Travelife Certified'. Trong đợt rà hiện tại chưa xác minh được hồ sơ này bằng danh bạ công khai gốc của Travelife.</t>
  </si>
  <si>
    <t>Giữ ở mức doanh nghiệp công bố về tình trạng chứng nhận cho tới khi có nguồn trực tiếp từ Travelife.</t>
  </si>
  <si>
    <t>Danh bạ Khách sạn được chứng nhận GSTC liệt kê Six Senses Condao; Control Union (GSTC-I); hiện tại chu kỳ 30/12/2024–29/12/2027; chứng nhận GSTC HACU240332-1.</t>
  </si>
  <si>
    <t>hiện tại chứng nhận được xác nhận trong danh bạ at cấp khu nghỉ dưỡng; không dùng chứng nhận này để xác minh từng KPI phát triển bền vững khác.</t>
  </si>
  <si>
    <t>Cơ chế quỹ tái tạo / phát triển bền vững</t>
  </si>
  <si>
    <t>Six Senses áp dụng Regenerative Impact Fund tại các khu nghỉ dưỡng, với 0,5% tổng doanh thu khách sạn cùng các nguồn bổ sung dành cho các dự án môi trường và xã hội tại địa phương.</t>
  </si>
  <si>
    <t>% tổng doanh thu khách sạn</t>
  </si>
  <si>
    <t>Six Senses Impacts</t>
  </si>
  <si>
    <t>nguồn tài chính architecture cấp brand/khu nghỉ dưỡng; không có absolute fund amount của Con Dao trong source này.</t>
  </si>
  <si>
    <t>Staying Green / nguyên tắc vận hành sinh thái</t>
  </si>
  <si>
    <t>Mango Bay công khai 'Staying Green' approach bao quát low-energy design, nước/chất thải, địa phương purchasing/employment, địa phương materials và conservation partnerships.</t>
  </si>
  <si>
    <t>Mô tả quản lý liên phòng ban; chưa thấy báo cáo phát triển bền vững hiện tại có chỉ số cường độ được công bố công khai.</t>
  </si>
  <si>
    <t>Rà soát hiện tại</t>
  </si>
  <si>
    <t>Chứng nhận phát triển bền vững bên thứ ba</t>
  </si>
  <si>
    <t>Trong các nguồn chính thức/partner đã rà, chưa tìm thấy hiện tại third-party phát triển bền vững chứng nhận công khai cho Mango Bay.</t>
  </si>
  <si>
    <t>Khoảng trống dữ liệu</t>
  </si>
  <si>
    <t>Rà soát các nguồn đã liệt kê</t>
  </si>
  <si>
    <t>Không đồng nghĩa khu nghỉ dưỡng không có chứng nhận; chỉ phản ánh công khai minh chứng tìm được.</t>
  </si>
  <si>
    <t>Khung quản lý phát triển bền vững</t>
  </si>
  <si>
    <t>Avana công khai cách tiếp cận quản lý phát triển bền vững bao quát phục hồi rừng, đa dạng sinh học, cộng đồng/lao động địa phương, văn hóa, thực phẩm và giảm chất thải.</t>
  </si>
  <si>
    <t>Có minh chứng rộng về quản lý/tích hợp; công bố công khai về năng lượng và cường độ sử dụng nước còn hạn chế.</t>
  </si>
  <si>
    <t>Nền tảng bên ngoài</t>
  </si>
  <si>
    <t>2025/hiện tại</t>
  </si>
  <si>
    <t>Đánh giá đa dạng sinh học của Guardians of Earth</t>
  </si>
  <si>
    <t>Guardians of Earth có Avana Retreat trên đa dạng sinh học platform và công bố site-level đa dạng sinh học indicators; các snapshot hiện hành có thể khác số khu nghỉ dưỡng trích trong 2025 phát triển bền vững trang.</t>
  </si>
  <si>
    <t>D – Đánh giá/xác nhận từ đối tác bên ngoài</t>
  </si>
  <si>
    <t>Xác minh / đánh giá</t>
  </si>
  <si>
    <t>Đây là báo cáo/đánh giá sinh học – văn hóa từ đối tác bên ngoài, không phải chứng nhận phát triển bền vững khách sạn. Dùng như nguồn đánh giá/đối chiếu của đối tác, không coi là chứng nhận độc lập.</t>
  </si>
  <si>
    <t>Chứng nhận phát triển bền vững khách sạn bên thứ ba</t>
  </si>
  <si>
    <t>Trong các nguồn đã rà, chưa xác minh hiện tại hotel phát triển bền vững chứng nhận như GSTC-accredited/Green Globe/Travelife cho Avana.</t>
  </si>
  <si>
    <t>Guardians of Earth đa dạng sinh học assessment không tương đương hotel phát triển bền vững chứng nhận.</t>
  </si>
  <si>
    <t>Báo cáo Phát triển Bền vững</t>
  </si>
  <si>
    <t>Khu nghỉ dưỡng công khai Báo cáo Phát triển Bền vững 2024–2025 bao phủ năng lượng, nước, chất thải, chuỗi cung ứng, cộng đồng, đa dạng sinh học và việc làm/đối xử công bằng.</t>
  </si>
  <si>
    <t>Cho thấy structured công bố vượt khỏi marketing trang; từng metric vẫn cần classify riêng.</t>
  </si>
  <si>
    <t>2026–2028</t>
  </si>
  <si>
    <t>Travelife Gold – doanh nghiệp công bố</t>
  </si>
  <si>
    <t>Silk Sense công bố được tái chứng nhận Travelife Gold cho giai đoạn 2026–2028. Research hiện tại chưa tìm thấy primary công khai Travelife directory trang để independently xác minh record.</t>
  </si>
  <si>
    <t>Silk Sense Sustainability</t>
  </si>
  <si>
    <t>Giữ như doanh nghiệp tự công bố chứng nhận công bố tới khi có third-party source trực tiếp.</t>
  </si>
  <si>
    <t>Kế hoạch Hành động Phát triển Bền vững 2026</t>
  </si>
  <si>
    <t>Sustainability trang công khai link Action Plan 2026 với các commitment/action areas cho vận hành bền vững.</t>
  </si>
  <si>
    <t>Minh chứng về quản lý, chưa phải kết quả.</t>
  </si>
  <si>
    <t>Báo cáo/chứng nhận phát triển bền vững công khai hiện tại</t>
  </si>
  <si>
    <t>Trong các nguồn chính thức hiện tại đã rà, chưa tìm thấy dedicated báo cáo phát triển bền vững hoặc third-party hotel phát triển bền vững chứng nhận cho Legacy Mekong.</t>
  </si>
  <si>
    <t>Rà soát các nguồn chính thức hiện tại</t>
  </si>
  <si>
    <t>Legacy Mekong có một số công bố phát triển bền vững mang tính lịch sử; mức độ minh bạch hiện tại thấp hơn các trường hợp có báo cáo/chứng nhận riêng.</t>
  </si>
  <si>
    <t>Tính liên tục của cơ sở / tên hiện tại</t>
  </si>
  <si>
    <t>2024–2026</t>
  </si>
  <si>
    <t>Đổi tên thành Legacy Mekong / lưu ý về tính liên tục của dữ liệu</t>
  </si>
  <si>
    <t>Nguồn du lịch Cần Thơ và báo cáo Novaland 2024 xác nhận cơ sở hiện vận hành dưới tên Legacy Mekong (trước đó là Azerai Can Tho). Do dữ liệu phát triển bền vững hiện tại còn ít, các thông tin lịch sử từ Azerai/Novaland được giữ với mốc thời gian rõ ràng.</t>
  </si>
  <si>
    <t>D – Xác nhận từ nguồn công khai bên ngoài</t>
  </si>
  <si>
    <t>Can Tho Tourism / Novaland Annual Report 2024</t>
  </si>
  <si>
    <t>Lưu ý phương pháp: không dùng các thông tin lịch sử của Azerai như hiệu suất hiện tại của Legacy Mekong nếu chưa có dữ liệu cập nhật.</t>
  </si>
  <si>
    <t>Bối cảnh chủ sở hữu trong quá khứ</t>
  </si>
  <si>
    <t>2018–2020</t>
  </si>
  <si>
    <t>Thông tin về phát triển/vận hành theo hướng bền vững</t>
  </si>
  <si>
    <t>Government/owner materials giai đoạn launch/early operation mô tả development theo hướng green spaces, energy efficiency và một số solar applications.</t>
  </si>
  <si>
    <t>Nguồn công khai trước đây của cơ quan nhà nước/chủ sở hữu</t>
  </si>
  <si>
    <t>lịch sử phạm vi; không dùng như hiện tại 2026 xác minh.</t>
  </si>
  <si>
    <t>https://baochinhphu.vn/novaland-ra-mat-resort-azerai-can-tho-102239790.htm</t>
  </si>
  <si>
    <t>Từ 12/2025</t>
  </si>
  <si>
    <t>Khung Serve 360 của Marriott</t>
  </si>
  <si>
    <t>Legacy Mekong gia nhập Autograph Collection của Marriott từ tháng 12/2025. Serve 360 là khung phát triển bền vững và tác động xã hội ở cấp tập đoàn Marriott, bao gồm vận hành có trách nhiệm, quản lý năng lượng và nước, giảm chất thải/phát thải và thu mua có trách nhiệm.</t>
  </si>
  <si>
    <t>Trang Serve 360 chính thức của Marriott</t>
  </si>
  <si>
    <t>Khung quản lý</t>
  </si>
  <si>
    <t>Chỉ dùng như bối cảnh quản lý ở cấp tập đoàn</t>
  </si>
  <si>
    <t>https://serve360.marriott.com/</t>
  </si>
  <si>
    <t>Property</t>
  </si>
  <si>
    <t>Since Dec 2025</t>
  </si>
  <si>
    <t>Marriott Serve 360 framework</t>
  </si>
  <si>
    <t>C – Qualitative company-reported</t>
  </si>
  <si>
    <t>Marriott / Serve 360 official</t>
  </si>
  <si>
    <t>Management framework</t>
  </si>
  <si>
    <t>Danh mục nguồn - toàn bộ URLs đang được dataset sử dụng</t>
  </si>
  <si>
    <t>Nguồn / nhãn</t>
  </si>
  <si>
    <t>Khía cạnh / phạm vi</t>
  </si>
  <si>
    <t>Số mục sử dụng</t>
  </si>
  <si>
    <t>Nhóm nguồn</t>
  </si>
  <si>
    <t>Liên kết</t>
  </si>
  <si>
    <t>Nguồn chính thức của doanh nghiệp / khu nghỉ dưỡng</t>
  </si>
  <si>
    <t>Đa dạng sinh học &amp; Hệ sinh thái; Quản lý &amp; Tích hợp</t>
  </si>
  <si>
    <t>D – Đánh giá/xác nhận từ đối tác bên ngoài; D – Xác nhận từ đối tác bên ngoài</t>
  </si>
  <si>
    <t>Avana Retreat Sustainability; Rà soát các nguồn đã liệt kê</t>
  </si>
  <si>
    <t>Đa dạng sinh học &amp; Hệ sinh thái; Cộng đồng &amp; Con người; Văn hóa &amp; Di sản; Năng lượng &amp; Khí hậu; Thực phẩm &amp; Thu mua; Quản lý &amp; Tích hợp; Chất thải &amp; Nhựa; Nước</t>
  </si>
  <si>
    <t>B – Doanh nghiệp công bố định lượng; C – Doanh nghiệp công bố định tính; E – Chưa tìm thấy minh chứng cụ thể</t>
  </si>
  <si>
    <t>Azerai Can Tho official / government launch; Azerai accommodation pages; Rà soát các nguồn chính thức hiện tại; Rà soát các nguồn đã liệt kê</t>
  </si>
  <si>
    <t>Azerai Can Tho</t>
  </si>
  <si>
    <t>Cộng đồng &amp; Con người; Văn hóa &amp; Di sản; Thực phẩm &amp; Thu mua; Gắn kết khách hàng; Quản lý &amp; Tích hợp; Chất thải &amp; Nhựa; Nước</t>
  </si>
  <si>
    <t>C – Doanh nghiệp công bố định tính; E – Chưa tìm thấy minh chứng cụ thể</t>
  </si>
  <si>
    <t>Quản lý &amp; Tích hợp</t>
  </si>
  <si>
    <t>Nguồn bên ngoài / độc lập / công khai</t>
  </si>
  <si>
    <t>Can Tho Tourism / Novaland Annual Report 2024; Trang điểm đến của cơ quan du lịch Cần Thơ</t>
  </si>
  <si>
    <t>D – Xác nhận từ nguồn công khai bên ngoài; D – Xác nhận từ nguồn du lịch công khai bên ngoài</t>
  </si>
  <si>
    <t>Đa dạng sinh học &amp; Hệ sinh thái; Văn hóa &amp; Di sản; Gắn kết khách hàng</t>
  </si>
  <si>
    <t>Banyan Tree Lang Co Sustainability; Rà soát nghiên cứu; Rà soát các nguồn đã liệt kê</t>
  </si>
  <si>
    <t>Cộng đồng &amp; Con người; Năng lượng &amp; Khí hậu; Thực phẩm &amp; Thu mua; Quản lý &amp; Tích hợp; Chất thải &amp; Nhựa; Nước</t>
  </si>
  <si>
    <t>Chất thải &amp; Nhựa; Nước</t>
  </si>
  <si>
    <t>Banyan Tree Lang Co; Six Senses Con Dao; Six Senses Ninh Van Bay</t>
  </si>
  <si>
    <t>Đa dạng sinh học &amp; Hệ sinh thái; Gắn kết khách hàng</t>
  </si>
  <si>
    <t>B – Doanh nghiệp công bố định lượng; C – Doanh nghiệp công bố định tính</t>
  </si>
  <si>
    <t>Cộng đồng &amp; Con người; Văn hóa &amp; Di sản</t>
  </si>
  <si>
    <t>Năng lượng &amp; Khí hậu; Thực phẩm &amp; Thu mua; Quản lý &amp; Tích hợp; Chất thải &amp; Nhựa; Nước</t>
  </si>
  <si>
    <t>Gắn kết khách hàng; Quản lý &amp; Tích hợp; Nước</t>
  </si>
  <si>
    <t>A – Xác minh độc lập; D – Xác nhận từ nguồn chứng nhận bên ngoài; D – Xác nhận từ đối tác bên ngoài</t>
  </si>
  <si>
    <t>Trang Giới thiệu chính thức của Mango Bay; Trang Giới thiệu chính thức của Mango Bay / Staying Green; Rà soát các nguồn đã liệt kê</t>
  </si>
  <si>
    <t>Đa dạng sinh học &amp; Hệ sinh thái; Cộng đồng &amp; Con người; Văn hóa &amp; Di sản; Năng lượng &amp; Khí hậu; Thực phẩm &amp; Thu mua; Gắn kết khách hàng; Quản lý &amp; Tích hợp; Chất thải &amp; Nhựa; Nước</t>
  </si>
  <si>
    <t>Silk Sense Sustainability; Trang phát triển bền vững chính thức của Silk Sense</t>
  </si>
  <si>
    <t>Cộng đồng &amp; Con người; Quản lý &amp; Tích hợp</t>
  </si>
  <si>
    <t>Trang phát triển bền vững chính thức của khu nghỉ dưỡng; Các trang chính thức của Six Senses Con Dao; Trang chính thức của Six Senses</t>
  </si>
  <si>
    <t>Đa dạng sinh học &amp; Hệ sinh thái; Cộng đồng &amp; Con người; Văn hóa &amp; Di sản; Thực phẩm &amp; Thu mua; Gắn kết khách hàng; Chất thải &amp; Nhựa; Nước</t>
  </si>
  <si>
    <t>Rà soát các nguồn đã liệt kê; Six Senses Impacts; Six Senses brand impacts page; Six Senses brand sustainability / impacts</t>
  </si>
  <si>
    <t>Six Senses Con Dao; Six Senses Ninh Van Bay</t>
  </si>
  <si>
    <t>Năng lượng &amp; Khí hậu; Quản lý &amp; Tích hợp</t>
  </si>
  <si>
    <t>Cộng đồng &amp; Con người; Gắn kết khách hàng</t>
  </si>
  <si>
    <t>Trang chính thức của khu nghỉ dưỡng; Rà soát các nguồn đã liệt kê</t>
  </si>
  <si>
    <t>Đa dạng sinh học &amp; Hệ sinh thái; Cộng đồng &amp; Con người; Văn hóa &amp; Di sản; Năng lượng &amp; Khí hậu; Thực phẩm &amp; Thu mua; Chất thải &amp; Nhựa; Nước</t>
  </si>
  <si>
    <t>Marriott Sustainability in Action; Marriott Sustainability in Action / property overview</t>
  </si>
  <si>
    <t>Đa dạng sinh học &amp; Hệ sinh thái; Cộng đồng &amp; Con người; Năng lượng &amp; Khí hậu; Gắn kết khách hàng; Quản lý &amp; Tích hợp</t>
  </si>
  <si>
    <t>Văn hóa &amp; Di sản; Năng lượng &amp; Khí hậu; Quản lý &amp; Tích hợp; Chất thải &amp; Nhựa; Nước</t>
  </si>
  <si>
    <t>Topas Sustainable Development; Topas official sustainability pages</t>
  </si>
  <si>
    <t>Văn hóa &amp; Di sản; Gắn kết khách hàng; Quản lý &amp; Tích hợp; Chất thải &amp; Nhựa</t>
  </si>
  <si>
    <t>Topas Ecolodge – ASEAN Green Hotel 2026 page; Topas Sustainable Development + ASEAN Green Hotel 2026 disclosure; Topas Sustainable Development + ASEAN Green Hotel 2026 page</t>
  </si>
  <si>
    <t>Cộng đồng &amp; Con người; Năng lượng &amp; Khí hậu; Thực phẩm &amp; Thu mua; Gắn kết khách hàng; Chất thải &amp; Nhựa; Nước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</si>
</sst>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rgb="FF000000"/>
      <name val="Carlito"/>
    </font>
    <font>
      <b/>
      <sz val="16"/>
      <color rgb="FFFFFFFF"/>
      <name val="Carlito"/>
    </font>
    <font>
      <sz val="10"/>
      <color rgb="FF1F2937"/>
      <name val="Carlito"/>
    </font>
    <font>
      <sz val="9"/>
      <color rgb="FF0563C1"/>
      <name val="Carlito"/>
    </font>
    <font>
      <b/>
      <sz val="15"/>
      <color rgb="FFFFFFFF"/>
      <name val="Carlito"/>
    </font>
    <font>
      <b/>
      <sz val="11"/>
      <color rgb="FF1F2937"/>
      <name val="Carlito"/>
    </font>
    <font>
      <b/>
      <sz val="11"/>
      <color rgb="FFFFFFFF"/>
      <name val="Carlito"/>
    </font>
    <font>
      <b/>
      <sz val="11"/>
      <color rgb="FF000000"/>
      <name val="Carlito"/>
    </font>
    <font>
      <sz val="11"/>
      <color theme="10"/>
      <name val="Carlito"/>
    </font>
    <font>
      <sz val="9"/>
      <color rgb="FF0070C0"/>
      <name val="Carlito"/>
    </font>
    <font>
      <b/>
      <sz val="10"/>
      <color rgb="FF245447"/>
      <name val="Aptos"/>
      <family val="2"/>
    </font>
    <font>
      <sz val="10"/>
      <color rgb="FF1F2D27"/>
      <name val="Aptos"/>
      <family val="2"/>
    </font>
    <font>
      <b/>
      <sz val="11"/>
      <color rgb="FF1F2937"/>
      <name val="Aptos"/>
      <family val="2"/>
    </font>
    <font>
      <b/>
      <sz val="9"/>
      <color rgb="FF245447"/>
      <name val="Aptos"/>
      <family val="2"/>
    </font>
    <font>
      <sz val="9"/>
      <color rgb="FF1F2D27"/>
      <name val="Aptos"/>
      <family val="2"/>
    </font>
    <font>
      <sz val="10"/>
      <color rgb="FF1F2D27"/>
      <name val="Aptos"/>
      <family val="2"/>
    </font>
    <font>
      <sz val="15"/>
      <color rgb="FF000000"/>
      <name val="Carlito"/>
    </font>
    <font>
      <b/>
      <sz val="12"/>
      <color rgb="FF1F2937"/>
      <name val="Carlito"/>
    </font>
    <font>
      <b/>
      <sz val="10"/>
      <color rgb="FF245447"/>
      <name val="Carlito"/>
    </font>
    <font>
      <b/>
      <sz val="11"/>
      <color rgb="FF245447"/>
      <name val="Carlito"/>
    </font>
    <font>
      <b/>
      <sz val="11"/>
      <name val="Carlito"/>
    </font>
    <font>
      <sz val="11"/>
      <name val="Carlito"/>
    </font>
    <font>
      <sz val="9"/>
      <color rgb="FF1F2937"/>
      <name val="Aptos"/>
      <family val="2"/>
    </font>
    <font>
      <b/>
      <sz val="9"/>
      <color rgb="FF1F2937"/>
      <name val="Aptos"/>
      <family val="2"/>
    </font>
    <font>
      <b/>
      <sz val="18"/>
      <color rgb="FFFFFFFF"/>
      <name val="Carlito"/>
    </font>
    <font>
      <sz val="18"/>
      <color rgb="FF000000"/>
      <name val="Carlito"/>
    </font>
  </fonts>
  <fills count="24">
    <fill>
      <patternFill patternType="none"/>
    </fill>
    <fill>
      <patternFill patternType="gray125"/>
    </fill>
    <fill>
      <patternFill patternType="solid">
        <fgColor rgb="FF375623"/>
      </patternFill>
    </fill>
    <fill>
      <patternFill patternType="solid">
        <fgColor rgb="FFC6E0B4"/>
      </patternFill>
    </fill>
    <fill>
      <patternFill patternType="solid">
        <fgColor rgb="FFFFF2CC"/>
      </patternFill>
    </fill>
    <fill>
      <patternFill patternType="solid">
        <fgColor rgb="FFE2F0D9"/>
      </patternFill>
    </fill>
    <fill>
      <patternFill patternType="solid">
        <fgColor rgb="FF2F5A1F"/>
      </patternFill>
    </fill>
    <fill>
      <patternFill patternType="solid">
        <fgColor rgb="FFC6E0B4"/>
      </patternFill>
    </fill>
    <fill>
      <patternFill patternType="solid">
        <fgColor rgb="FF70AD47"/>
      </patternFill>
    </fill>
    <fill>
      <patternFill patternType="solid">
        <fgColor rgb="FFA9D18E"/>
      </patternFill>
    </fill>
    <fill>
      <patternFill patternType="solid">
        <fgColor rgb="FFFFE699"/>
      </patternFill>
    </fill>
    <fill>
      <patternFill patternType="solid">
        <fgColor rgb="FFDDEBF7"/>
      </patternFill>
    </fill>
    <fill>
      <patternFill patternType="solid">
        <fgColor rgb="FFF4CCCC"/>
      </patternFill>
    </fill>
    <fill>
      <patternFill patternType="solid">
        <fgColor rgb="FFD9D9D9"/>
      </patternFill>
    </fill>
    <fill>
      <patternFill patternType="solid">
        <fgColor rgb="FFF8CBAD"/>
      </patternFill>
    </fill>
    <fill>
      <patternFill patternType="solid">
        <fgColor rgb="FFE2F0D9"/>
      </patternFill>
    </fill>
    <fill>
      <patternFill patternType="solid">
        <fgColor rgb="FFFFF2CC"/>
      </patternFill>
    </fill>
    <fill>
      <patternFill patternType="solid">
        <fgColor rgb="FFF6F8F6"/>
      </patternFill>
    </fill>
    <fill>
      <patternFill patternType="solid">
        <fgColor rgb="FFC6E0B4"/>
      </patternFill>
    </fill>
    <fill>
      <patternFill patternType="solid">
        <fgColor rgb="FFC6E0B4"/>
      </patternFill>
    </fill>
    <fill>
      <patternFill patternType="solid">
        <fgColor rgb="FFC6E0B4"/>
      </patternFill>
    </fill>
    <fill>
      <patternFill patternType="solid">
        <fgColor theme="2" tint="-4.9989318521683403E-2"/>
        <bgColor indexed="65"/>
      </patternFill>
    </fill>
    <fill>
      <patternFill patternType="solid">
        <fgColor rgb="FFF6F8F6"/>
        <bgColor indexed="64"/>
      </patternFill>
    </fill>
    <fill>
      <patternFill patternType="solid">
        <fgColor rgb="FFFFFFFF"/>
        <bgColor indexed="64"/>
      </patternFill>
    </fill>
  </fills>
  <borders count="9">
    <border>
      <left/>
      <right/>
      <top/>
      <bottom/>
      <diagonal/>
    </border>
    <border>
      <left/>
      <right/>
      <top/>
      <bottom/>
      <diagonal/>
    </border>
    <border>
      <left/>
      <right/>
      <top/>
      <bottom/>
      <diagonal/>
    </border>
    <border>
      <left/>
      <right/>
      <top/>
      <bottom/>
      <diagonal/>
    </border>
    <border>
      <left/>
      <right/>
      <top/>
      <bottom style="thin">
        <color indexed="64"/>
      </bottom>
      <diagonal/>
    </border>
    <border>
      <left style="thin">
        <color rgb="FFD5DDD8"/>
      </left>
      <right style="thin">
        <color rgb="FFD5DDD8"/>
      </right>
      <top style="thin">
        <color rgb="FFD5DDD8"/>
      </top>
      <bottom style="thin">
        <color rgb="FFD5DDD8"/>
      </bottom>
      <diagonal/>
    </border>
    <border>
      <left/>
      <right/>
      <top/>
      <bottom style="thin">
        <color rgb="FFD5DDD8"/>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87">
    <xf numFmtId="0" fontId="0" fillId="0" borderId="0" xfId="0"/>
    <xf numFmtId="0" fontId="2" fillId="0" borderId="0" xfId="0" applyFont="1" applyAlignment="1">
      <alignment vertical="top" wrapText="1"/>
    </xf>
    <xf numFmtId="0" fontId="2" fillId="5"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vertical="top" wrapText="1"/>
    </xf>
    <xf numFmtId="0" fontId="2" fillId="5" borderId="3" xfId="0" applyFont="1" applyFill="1" applyBorder="1" applyAlignment="1">
      <alignment vertical="top" wrapText="1"/>
    </xf>
    <xf numFmtId="0" fontId="2" fillId="4" borderId="3" xfId="0" applyFont="1" applyFill="1" applyBorder="1" applyAlignment="1">
      <alignment vertical="top" wrapText="1"/>
    </xf>
    <xf numFmtId="4" fontId="2" fillId="0" borderId="0" xfId="0" applyNumberFormat="1" applyFont="1" applyAlignment="1">
      <alignment vertical="top" wrapText="1"/>
    </xf>
    <xf numFmtId="0" fontId="0" fillId="0" borderId="0" xfId="0" applyAlignment="1">
      <alignment wrapText="1"/>
    </xf>
    <xf numFmtId="0" fontId="6"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1" borderId="0" xfId="0" applyFont="1" applyFill="1" applyAlignment="1">
      <alignment wrapText="1"/>
    </xf>
    <xf numFmtId="0" fontId="5" fillId="12" borderId="0" xfId="0" applyFont="1" applyFill="1" applyAlignment="1">
      <alignment wrapText="1"/>
    </xf>
    <xf numFmtId="0" fontId="5" fillId="13" borderId="0" xfId="0" applyFont="1" applyFill="1" applyAlignment="1">
      <alignment wrapText="1"/>
    </xf>
    <xf numFmtId="0" fontId="5" fillId="7"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8" fillId="0" borderId="0" xfId="1" applyAlignment="1">
      <alignment vertical="top" wrapText="1"/>
    </xf>
    <xf numFmtId="0" fontId="9" fillId="0" borderId="0" xfId="1" applyFont="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2" fillId="15" borderId="0" xfId="0" applyFont="1" applyFill="1" applyAlignment="1">
      <alignment horizontal="left" vertical="top"/>
    </xf>
    <xf numFmtId="0" fontId="8" fillId="0" borderId="0" xfId="1" applyAlignment="1">
      <alignment horizontal="left" vertical="top"/>
    </xf>
    <xf numFmtId="0" fontId="3" fillId="0" borderId="0" xfId="1" applyFont="1" applyAlignment="1">
      <alignment horizontal="left" vertical="top"/>
    </xf>
    <xf numFmtId="0" fontId="2" fillId="16" borderId="0" xfId="0" applyFont="1" applyFill="1" applyAlignment="1">
      <alignment horizontal="left" vertical="top" wrapText="1"/>
    </xf>
    <xf numFmtId="0" fontId="2" fillId="5" borderId="0" xfId="0" applyFont="1" applyFill="1" applyAlignment="1">
      <alignment horizontal="left" vertical="top"/>
    </xf>
    <xf numFmtId="0" fontId="2" fillId="4" borderId="0" xfId="0" applyFont="1" applyFill="1" applyAlignment="1">
      <alignment horizontal="left" vertical="top" wrapText="1"/>
    </xf>
    <xf numFmtId="0" fontId="2" fillId="0" borderId="3" xfId="0" applyFont="1" applyBorder="1" applyAlignment="1">
      <alignment vertical="top" wrapText="1"/>
    </xf>
    <xf numFmtId="0" fontId="10" fillId="0" borderId="5" xfId="0" applyFont="1" applyBorder="1" applyAlignment="1">
      <alignment vertical="top" wrapText="1"/>
    </xf>
    <xf numFmtId="0" fontId="11" fillId="0" borderId="5" xfId="0" applyFont="1" applyBorder="1" applyAlignment="1">
      <alignment vertical="top" wrapText="1"/>
    </xf>
    <xf numFmtId="0" fontId="10" fillId="17" borderId="5" xfId="0" applyFont="1" applyFill="1" applyBorder="1" applyAlignment="1">
      <alignment vertical="top" wrapText="1"/>
    </xf>
    <xf numFmtId="0" fontId="11" fillId="17" borderId="5" xfId="0" applyFont="1" applyFill="1" applyBorder="1" applyAlignment="1">
      <alignment vertical="top" wrapText="1"/>
    </xf>
    <xf numFmtId="0" fontId="12" fillId="19" borderId="5" xfId="0" applyFont="1" applyFill="1" applyBorder="1" applyAlignment="1">
      <alignment horizontal="center" vertical="center" wrapText="1"/>
    </xf>
    <xf numFmtId="0" fontId="4" fillId="0" borderId="0" xfId="0" applyFont="1"/>
    <xf numFmtId="0" fontId="13" fillId="0" borderId="5" xfId="0" applyFont="1" applyBorder="1" applyAlignment="1">
      <alignment vertical="top" wrapText="1"/>
    </xf>
    <xf numFmtId="0" fontId="14" fillId="0" borderId="5" xfId="0" applyFont="1" applyBorder="1" applyAlignment="1">
      <alignment vertical="top" wrapText="1"/>
    </xf>
    <xf numFmtId="0" fontId="13" fillId="17" borderId="5" xfId="0" applyFont="1" applyFill="1" applyBorder="1" applyAlignment="1">
      <alignment vertical="top" wrapText="1"/>
    </xf>
    <xf numFmtId="0" fontId="14" fillId="17" borderId="5" xfId="0" applyFont="1" applyFill="1" applyBorder="1" applyAlignment="1">
      <alignment vertical="top" wrapText="1"/>
    </xf>
    <xf numFmtId="0" fontId="15" fillId="0" borderId="5" xfId="0" applyFont="1" applyBorder="1" applyAlignment="1">
      <alignment vertical="top" wrapText="1"/>
    </xf>
    <xf numFmtId="0" fontId="15" fillId="17" borderId="5" xfId="0" applyFont="1" applyFill="1" applyBorder="1" applyAlignment="1">
      <alignment vertical="top" wrapText="1"/>
    </xf>
    <xf numFmtId="0" fontId="12" fillId="20" borderId="5" xfId="0" applyFont="1" applyFill="1" applyBorder="1" applyAlignment="1">
      <alignment horizontal="center" vertical="center" wrapText="1"/>
    </xf>
    <xf numFmtId="0" fontId="0" fillId="21" borderId="0" xfId="0" applyFill="1" applyAlignment="1">
      <alignment horizontal="left" vertical="center" wrapText="1"/>
    </xf>
    <xf numFmtId="0" fontId="0" fillId="0" borderId="0" xfId="0" applyAlignment="1">
      <alignment vertical="center"/>
    </xf>
    <xf numFmtId="0" fontId="5" fillId="18" borderId="0" xfId="0" applyFont="1" applyFill="1" applyAlignment="1">
      <alignment horizontal="center" vertical="center" wrapText="1"/>
    </xf>
    <xf numFmtId="0" fontId="5" fillId="7" borderId="0" xfId="0" applyFont="1" applyFill="1" applyAlignment="1">
      <alignment vertical="center" wrapText="1"/>
    </xf>
    <xf numFmtId="0" fontId="19" fillId="0" borderId="0" xfId="0" applyFont="1" applyAlignment="1">
      <alignment wrapText="1"/>
    </xf>
    <xf numFmtId="0" fontId="19" fillId="21" borderId="0" xfId="0" applyFont="1" applyFill="1" applyAlignment="1">
      <alignment horizontal="left" vertical="center" wrapText="1"/>
    </xf>
    <xf numFmtId="0" fontId="19" fillId="0" borderId="0" xfId="0" applyFont="1" applyAlignment="1">
      <alignment horizontal="left" vertical="center" wrapText="1"/>
    </xf>
    <xf numFmtId="0" fontId="18" fillId="0" borderId="0" xfId="0" applyFont="1" applyAlignment="1">
      <alignment vertical="top" wrapText="1"/>
    </xf>
    <xf numFmtId="0" fontId="19" fillId="0" borderId="0" xfId="0" applyFont="1"/>
    <xf numFmtId="0" fontId="20"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1" fillId="0" borderId="0" xfId="0" applyFont="1"/>
    <xf numFmtId="0" fontId="18" fillId="0" borderId="0" xfId="0" applyFont="1" applyAlignment="1">
      <alignment horizontal="left" vertical="top"/>
    </xf>
    <xf numFmtId="0" fontId="20" fillId="3" borderId="2" xfId="0" applyFont="1" applyFill="1" applyBorder="1" applyAlignment="1">
      <alignment horizontal="center" vertical="center" wrapText="1"/>
    </xf>
    <xf numFmtId="0" fontId="12" fillId="3" borderId="0" xfId="0" applyFont="1" applyFill="1" applyAlignment="1">
      <alignment horizontal="center" vertical="center" wrapText="1"/>
    </xf>
    <xf numFmtId="0" fontId="22" fillId="0" borderId="0" xfId="0" applyFont="1" applyAlignment="1">
      <alignment vertical="top" wrapText="1"/>
    </xf>
    <xf numFmtId="0" fontId="22" fillId="0" borderId="0" xfId="0" applyFont="1" applyAlignment="1">
      <alignment horizontal="center"/>
    </xf>
    <xf numFmtId="0" fontId="16" fillId="0" borderId="0" xfId="0" applyFont="1"/>
    <xf numFmtId="0" fontId="17" fillId="18" borderId="3" xfId="0" applyFont="1" applyFill="1" applyBorder="1" applyAlignment="1">
      <alignment horizontal="center" vertical="center" wrapText="1"/>
    </xf>
    <xf numFmtId="0" fontId="25" fillId="0" borderId="0" xfId="0" applyFont="1" applyAlignment="1">
      <alignment horizontal="center"/>
    </xf>
    <xf numFmtId="0" fontId="24" fillId="21" borderId="0" xfId="0" applyFont="1" applyFill="1" applyAlignment="1">
      <alignment vertical="center"/>
    </xf>
    <xf numFmtId="0" fontId="5" fillId="7" borderId="7" xfId="0" applyFont="1" applyFill="1" applyBorder="1" applyAlignment="1">
      <alignment vertical="center" wrapText="1"/>
    </xf>
    <xf numFmtId="0" fontId="0" fillId="0" borderId="7" xfId="0" applyBorder="1" applyAlignment="1">
      <alignment wrapText="1"/>
    </xf>
    <xf numFmtId="0" fontId="5" fillId="14" borderId="4" xfId="0" applyFont="1" applyFill="1" applyBorder="1" applyAlignment="1">
      <alignment wrapText="1"/>
    </xf>
    <xf numFmtId="0" fontId="0" fillId="0" borderId="4" xfId="0" applyBorder="1" applyAlignment="1">
      <alignment wrapText="1"/>
    </xf>
    <xf numFmtId="0" fontId="0" fillId="0" borderId="8" xfId="0" applyBorder="1" applyAlignment="1">
      <alignment wrapText="1"/>
    </xf>
    <xf numFmtId="0" fontId="0" fillId="0" borderId="0" xfId="0" applyAlignment="1">
      <alignment vertical="center" wrapText="1"/>
    </xf>
    <xf numFmtId="0" fontId="22" fillId="0" borderId="0" xfId="0" applyFont="1" applyAlignment="1">
      <alignment horizontal="center" vertical="top" wrapText="1"/>
    </xf>
    <xf numFmtId="0" fontId="4" fillId="6" borderId="3" xfId="0" applyFont="1" applyFill="1" applyBorder="1" applyAlignment="1">
      <alignment horizontal="center" vertical="center"/>
    </xf>
    <xf numFmtId="0" fontId="23" fillId="3" borderId="0" xfId="0" applyFont="1" applyFill="1" applyAlignment="1">
      <alignment horizontal="center" vertical="center" wrapText="1"/>
    </xf>
    <xf numFmtId="0" fontId="4" fillId="6" borderId="6" xfId="0" applyFont="1" applyFill="1" applyBorder="1" applyAlignment="1">
      <alignment horizontal="left" vertical="center"/>
    </xf>
    <xf numFmtId="0" fontId="24" fillId="6" borderId="0" xfId="0" applyFont="1" applyFill="1" applyAlignment="1">
      <alignment horizontal="center" vertical="center"/>
    </xf>
    <xf numFmtId="0" fontId="1" fillId="2" borderId="0" xfId="0" applyFont="1" applyFill="1" applyAlignment="1">
      <alignment vertical="center"/>
    </xf>
    <xf numFmtId="0" fontId="0" fillId="0" borderId="0" xfId="0"/>
    <xf numFmtId="0" fontId="14" fillId="22" borderId="5" xfId="0" applyFont="1" applyFill="1" applyBorder="1" applyAlignment="1">
      <alignment vertical="top" wrapText="1"/>
    </xf>
    <xf numFmtId="0" fontId="22" fillId="22" borderId="0" xfId="0" applyFont="1" applyFill="1" applyAlignment="1">
      <alignment vertical="top" wrapText="1"/>
    </xf>
    <xf numFmtId="0" fontId="22" fillId="22" borderId="0" xfId="0" applyFont="1" applyFill="1" applyAlignment="1">
      <alignment horizontal="center" vertical="top" wrapText="1"/>
    </xf>
    <xf numFmtId="0" fontId="22" fillId="23" borderId="0" xfId="0" applyFont="1" applyFill="1" applyAlignment="1">
      <alignment vertical="top" wrapText="1"/>
    </xf>
    <xf numFmtId="0" fontId="13" fillId="23" borderId="5" xfId="0" applyFont="1" applyFill="1" applyBorder="1" applyAlignment="1">
      <alignment vertical="top" wrapText="1"/>
    </xf>
    <xf numFmtId="0" fontId="14" fillId="23" borderId="5" xfId="0" applyFont="1" applyFill="1" applyBorder="1" applyAlignment="1">
      <alignment vertical="top" wrapText="1"/>
    </xf>
    <xf numFmtId="0" fontId="22" fillId="23" borderId="0" xfId="0" applyFont="1" applyFill="1" applyAlignment="1">
      <alignment horizontal="center" vertical="top" wrapText="1"/>
    </xf>
    <xf numFmtId="0" fontId="0" fillId="23" borderId="0" xfId="0" applyFill="1"/>
  </cellXfs>
  <cellStyles count="2">
    <cellStyle name="Hyperlink" xfId="1" xr:uid="{00000000-0005-0000-0000-000000000000}"/>
    <cellStyle name="Normal" xfId="0" builtinId="0"/>
  </cellStyles>
  <dxfs count="25">
    <dxf>
      <fill>
        <patternFill>
          <bgColor rgb="FFE7E6E6"/>
        </patternFill>
      </fill>
    </dxf>
    <dxf>
      <fill>
        <patternFill>
          <bgColor rgb="FFF4CCCC"/>
        </patternFill>
      </fill>
    </dxf>
    <dxf>
      <font>
        <b/>
      </font>
      <fill>
        <patternFill>
          <bgColor rgb="FFA9D18E"/>
        </patternFill>
      </fill>
    </dxf>
    <dxf>
      <font>
        <color rgb="FF1F2937"/>
      </font>
      <fill>
        <patternFill>
          <bgColor rgb="FFF8CBAD"/>
        </patternFill>
      </fill>
    </dxf>
    <dxf>
      <font>
        <color rgb="FF1F2937"/>
      </font>
      <fill>
        <patternFill>
          <bgColor rgb="FFD9D9D9"/>
        </patternFill>
      </fill>
    </dxf>
    <dxf>
      <font>
        <color rgb="FF1F2937"/>
      </font>
      <fill>
        <patternFill>
          <bgColor rgb="FFF4CCCC"/>
        </patternFill>
      </fill>
    </dxf>
    <dxf>
      <font>
        <color rgb="FF1F2937"/>
      </font>
      <fill>
        <patternFill>
          <bgColor rgb="FFDDEBF7"/>
        </patternFill>
      </fill>
    </dxf>
    <dxf>
      <font>
        <color rgb="FF1F2937"/>
      </font>
      <fill>
        <patternFill>
          <bgColor rgb="FFFFE699"/>
        </patternFill>
      </fill>
    </dxf>
    <dxf>
      <font>
        <b/>
        <color rgb="FF1F2937"/>
      </font>
      <fill>
        <patternFill>
          <bgColor rgb="FFA9D18E"/>
        </patternFill>
      </fill>
    </dxf>
    <dxf>
      <font>
        <b/>
        <color rgb="FFFFFFFF"/>
      </font>
      <fill>
        <patternFill>
          <bgColor rgb="FF70AD47"/>
        </patternFill>
      </fill>
    </dxf>
    <dxf>
      <font>
        <u val="none"/>
        <sz val="9"/>
        <color rgb="FF0563C1"/>
        <name val="Carlito"/>
        <scheme val="none"/>
      </font>
    </dxf>
    <dxf>
      <font>
        <u val="none"/>
        <sz val="10"/>
        <color rgb="FF1F2937"/>
        <name val="Carlito"/>
        <scheme val="none"/>
      </font>
      <fill>
        <patternFill>
          <bgColor indexed="64"/>
        </patternFill>
      </fill>
    </dxf>
    <dxf>
      <font>
        <u val="none"/>
        <sz val="10"/>
        <color rgb="FF1F2937"/>
        <name val="Carlito"/>
        <scheme val="none"/>
      </font>
      <fill>
        <patternFill patternType="solid">
          <bgColor auto="1"/>
        </patternFill>
      </fill>
    </dxf>
    <dxf>
      <font>
        <u val="none"/>
        <sz val="10"/>
        <color rgb="FF1F2937"/>
        <name val="Carlito"/>
        <scheme val="none"/>
      </font>
      <fill>
        <patternFill patternType="solid">
          <bgColor auto="1"/>
        </patternFill>
      </fill>
    </dxf>
    <dxf>
      <font>
        <u val="none"/>
        <sz val="10"/>
        <color rgb="FF1F2937"/>
        <name val="Carlito"/>
        <scheme val="none"/>
      </font>
    </dxf>
    <dxf>
      <font>
        <u val="none"/>
        <sz val="10"/>
        <color rgb="FF1F2937"/>
        <name val="Carlito"/>
        <scheme val="none"/>
      </font>
      <fill>
        <patternFill patternType="solid">
          <bgColor auto="1"/>
        </patternFill>
      </fill>
    </dxf>
    <dxf>
      <font>
        <u val="none"/>
        <sz val="10"/>
        <color rgb="FF1F2937"/>
        <name val="Carlito"/>
        <scheme val="none"/>
      </font>
    </dxf>
    <dxf>
      <font>
        <u val="none"/>
        <sz val="10"/>
        <color rgb="FF1F2937"/>
        <name val="Carlito"/>
        <scheme val="none"/>
      </font>
    </dxf>
    <dxf>
      <font>
        <u val="none"/>
        <sz val="10"/>
        <color rgb="FF1F2937"/>
        <name val="Carlito"/>
        <scheme val="none"/>
      </font>
      <fill>
        <patternFill>
          <bgColor indexed="64"/>
        </patternFill>
      </fill>
    </dxf>
    <dxf>
      <font>
        <u val="none"/>
        <sz val="10"/>
        <color rgb="FF1F2937"/>
        <name val="Carlito"/>
        <scheme val="none"/>
      </font>
    </dxf>
    <dxf>
      <font>
        <u val="none"/>
        <sz val="10"/>
        <color rgb="FF1F2937"/>
        <name val="Carlito"/>
        <scheme val="none"/>
      </font>
    </dxf>
    <dxf>
      <font>
        <u val="none"/>
        <sz val="10"/>
        <color rgb="FF1F2937"/>
        <name val="Carlito"/>
        <scheme val="none"/>
      </font>
    </dxf>
    <dxf>
      <font>
        <u val="none"/>
        <sz val="10"/>
        <color rgb="FF1F2937"/>
        <name val="Carlito"/>
        <scheme val="none"/>
      </font>
    </dxf>
    <dxf>
      <font>
        <b/>
        <u val="none"/>
        <sz val="10"/>
        <color rgb="FF245447"/>
        <name val="Carlito"/>
        <scheme val="none"/>
      </font>
    </dxf>
    <dxf>
      <font>
        <b/>
        <u val="none"/>
        <color rgb="FF245447"/>
        <name val="Carlito"/>
        <scheme val="none"/>
      </font>
    </dxf>
  </dxfs>
  <tableStyles count="0" defaultTableStyle="TableStyleMedium2" defaultPivotStyle="PivotStyleLight16"/>
  <colors>
    <mruColors>
      <color rgb="FFFFFFFF"/>
      <color rgb="FFF6F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0"/>
      <c:rAngAx val="0"/>
    </c:view3D>
    <c:floor>
      <c:thickness val="0"/>
    </c:floor>
    <c:sideWall>
      <c:thickness val="0"/>
    </c:sideWall>
    <c:backWall>
      <c:thickness val="0"/>
    </c:backWall>
    <c:plotArea>
      <c:layout>
        <c:manualLayout>
          <c:layoutTarget val="inner"/>
          <c:xMode val="edge"/>
          <c:yMode val="edge"/>
          <c:x val="7.9871295911331144E-2"/>
          <c:y val="0.12894398920360811"/>
          <c:w val="0.89859883512915117"/>
          <c:h val="0.66424853667215056"/>
        </c:manualLayout>
      </c:layout>
      <c:bar3DChart>
        <c:barDir val="col"/>
        <c:grouping val="clustered"/>
        <c:varyColors val="0"/>
        <c:ser>
          <c:idx val="0"/>
          <c:order val="0"/>
          <c:tx>
            <c:strRef>
              <c:f>'Mức độ xác minh dữ kiện'!$B$23</c:f>
              <c:strCache>
                <c:ptCount val="1"/>
                <c:pt idx="0">
                  <c:v>Core &amp; supporting records</c:v>
                </c:pt>
              </c:strCache>
            </c:strRef>
          </c:tx>
          <c:spPr>
            <a:pattFill prst="ltDnDiag">
              <a:fgClr>
                <a:schemeClr val="accent6"/>
              </a:fgClr>
              <a:bgClr>
                <a:schemeClr val="accent6">
                  <a:lumMod val="20000"/>
                  <a:lumOff val="80000"/>
                </a:schemeClr>
              </a:bgClr>
            </a:pattFill>
            <a:ln>
              <a:solidFill>
                <a:schemeClr val="accent6"/>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'Mức độ xác minh dữ kiện'!$A$24:$A$27</c:f>
              <c:strCache>
                <c:ptCount val="4"/>
                <c:pt idx="0">
                  <c:v>Thực hành</c:v>
                </c:pt>
                <c:pt idx="1">
                  <c:v>Đầu ra</c:v>
                </c:pt>
                <c:pt idx="2">
                  <c:v>Tạo ra thay đổi</c:v>
                </c:pt>
                <c:pt idx="3">
                  <c:v>Cam kết</c:v>
                </c:pt>
              </c:strCache>
            </c:strRef>
          </c:cat>
          <c:val>
            <c:numRef>
              <c:f>'Mức độ xác minh dữ kiện'!$B$24:$B$27</c:f>
              <c:numCache>
                <c:formatCode>General</c:formatCode>
                <c:ptCount val="4"/>
                <c:pt idx="0">
                  <c:v>53</c:v>
                </c:pt>
                <c:pt idx="1">
                  <c:v>44</c:v>
                </c:pt>
                <c:pt idx="2">
                  <c:v>10</c:v>
                </c:pt>
                <c:pt idx="3">
                  <c:v>1</c:v>
                </c:pt>
              </c:numCache>
            </c:numRef>
          </c:val>
          <c:extLst>
            <c:ext xmlns:c16="http://schemas.microsoft.com/office/drawing/2014/chart" uri="{C3380CC4-5D6E-409C-BE32-E72D297353CC}">
              <c16:uniqueId val="{00000000-3BE6-4BAF-8083-2B9487E3A599}"/>
            </c:ext>
          </c:extLst>
        </c:ser>
        <c:dLbls>
          <c:showLegendKey val="0"/>
          <c:showVal val="1"/>
          <c:showCatName val="0"/>
          <c:showSerName val="0"/>
          <c:showPercent val="0"/>
          <c:showBubbleSize val="0"/>
        </c:dLbls>
        <c:gapWidth val="150"/>
        <c:shape val="box"/>
        <c:axId val="1127119695"/>
        <c:axId val="1078814303"/>
        <c:axId val="0"/>
      </c:bar3DChart>
      <c:catAx>
        <c:axId val="1127119695"/>
        <c:scaling>
          <c:orientation val="minMax"/>
        </c:scaling>
        <c:delete val="0"/>
        <c:axPos val="b"/>
        <c:title>
          <c:tx>
            <c:rich>
              <a:bodyPr/>
              <a:lstStyle/>
              <a:p>
                <a:r>
                  <a:rPr lang="vi-VN" sz="900" b="1" i="0" u="none">
                    <a:solidFill>
                      <a:schemeClr val="tx1">
                        <a:lumMod val="65000"/>
                        <a:lumOff val="35000"/>
                      </a:schemeClr>
                    </a:solidFill>
                    <a:latin typeface="+mn-lt"/>
                    <a:ea typeface="+mn-lt"/>
                    <a:cs typeface="+mn-lt"/>
                  </a:rPr>
                  <a:t>Mức độ hoạt động được triển khai</a:t>
                </a:r>
              </a:p>
            </c:rich>
          </c:tx>
          <c:layout>
            <c:manualLayout>
              <c:xMode val="edge"/>
              <c:yMode val="edge"/>
              <c:x val="0.30583728646619379"/>
              <c:y val="0.88141496524948981"/>
            </c:manualLayout>
          </c:layout>
          <c:overlay val="1"/>
        </c:title>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078814303"/>
        <c:crosses val="autoZero"/>
        <c:auto val="1"/>
        <c:lblAlgn val="ctr"/>
        <c:lblOffset val="100"/>
        <c:noMultiLvlLbl val="0"/>
      </c:catAx>
      <c:valAx>
        <c:axId val="1078814303"/>
        <c:scaling>
          <c:orientation val="minMax"/>
        </c:scaling>
        <c:delete val="0"/>
        <c:axPos val="l"/>
        <c:title>
          <c:tx>
            <c:rich>
              <a:bodyPr/>
              <a:lstStyle/>
              <a:p>
                <a:r>
                  <a:rPr lang="en-US" sz="900" b="1" i="0" u="none">
                    <a:solidFill>
                      <a:schemeClr val="tx1">
                        <a:lumMod val="65000"/>
                        <a:lumOff val="35000"/>
                      </a:schemeClr>
                    </a:solidFill>
                    <a:latin typeface="+mn-lt"/>
                    <a:ea typeface="+mn-lt"/>
                    <a:cs typeface="+mn-lt"/>
                  </a:rPr>
                  <a:t>Core &amp; Supporting records</a:t>
                </a:r>
              </a:p>
            </c:rich>
          </c:tx>
          <c:overlay val="1"/>
        </c:title>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27119695"/>
        <c:crosses val="autoZero"/>
        <c:crossBetween val="between"/>
      </c:valAx>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0"/>
      <c:rAngAx val="0"/>
    </c:view3D>
    <c:floor>
      <c:thickness val="0"/>
    </c:floor>
    <c:sideWall>
      <c:thickness val="0"/>
    </c:sideWall>
    <c:backWall>
      <c:thickness val="0"/>
    </c:backWall>
    <c:plotArea>
      <c:layout/>
      <c:bar3DChart>
        <c:barDir val="col"/>
        <c:grouping val="clustered"/>
        <c:varyColors val="0"/>
        <c:ser>
          <c:idx val="0"/>
          <c:order val="0"/>
          <c:tx>
            <c:strRef>
              <c:f>'Dimensions coverage'!$B$2</c:f>
              <c:strCache>
                <c:ptCount val="1"/>
                <c:pt idx="0">
                  <c:v>Số khu nghỉ dưỡng có bằng chứng hiện tại</c:v>
                </c:pt>
              </c:strCache>
            </c:strRef>
          </c:tx>
          <c:spPr>
            <a:pattFill prst="ltDnDiag">
              <a:fgClr>
                <a:schemeClr val="accent6"/>
              </a:fgClr>
              <a:bgClr>
                <a:schemeClr val="accent6">
                  <a:lumMod val="20000"/>
                  <a:lumOff val="80000"/>
                </a:schemeClr>
              </a:bgClr>
            </a:pattFill>
            <a:ln>
              <a:solidFill>
                <a:schemeClr val="accent6"/>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'Dimensions coverage'!$A$3:$A$10</c:f>
              <c:strCache>
                <c:ptCount val="8"/>
                <c:pt idx="0">
                  <c:v>Năng lượng &amp; Khí hậu</c:v>
                </c:pt>
                <c:pt idx="1">
                  <c:v>Nước</c:v>
                </c:pt>
                <c:pt idx="2">
                  <c:v>Chất thải &amp; Nhựa</c:v>
                </c:pt>
                <c:pt idx="3">
                  <c:v>Thực phẩm &amp; Thu mua</c:v>
                </c:pt>
                <c:pt idx="4">
                  <c:v>Đa dạng sinh học &amp; Hệ sinh thái</c:v>
                </c:pt>
                <c:pt idx="5">
                  <c:v>Cộng đồng &amp; Con người</c:v>
                </c:pt>
                <c:pt idx="6">
                  <c:v>Văn hóa &amp; Di sản</c:v>
                </c:pt>
                <c:pt idx="7">
                  <c:v>Gắn kết khách hàng</c:v>
                </c:pt>
              </c:strCache>
            </c:strRef>
          </c:cat>
          <c:val>
            <c:numRef>
              <c:f>'Dimensions coverage'!$B$3:$B$10</c:f>
              <c:numCache>
                <c:formatCode>General</c:formatCode>
                <c:ptCount val="8"/>
                <c:pt idx="0">
                  <c:v>7</c:v>
                </c:pt>
                <c:pt idx="1">
                  <c:v>7</c:v>
                </c:pt>
                <c:pt idx="2">
                  <c:v>8</c:v>
                </c:pt>
                <c:pt idx="3">
                  <c:v>9</c:v>
                </c:pt>
                <c:pt idx="4">
                  <c:v>8</c:v>
                </c:pt>
                <c:pt idx="5">
                  <c:v>9</c:v>
                </c:pt>
                <c:pt idx="6">
                  <c:v>10</c:v>
                </c:pt>
                <c:pt idx="7">
                  <c:v>9</c:v>
                </c:pt>
              </c:numCache>
            </c:numRef>
          </c:val>
          <c:extLst>
            <c:ext xmlns:c16="http://schemas.microsoft.com/office/drawing/2014/chart" uri="{C3380CC4-5D6E-409C-BE32-E72D297353CC}">
              <c16:uniqueId val="{00000000-9205-4CFF-90B9-84C9DDF27149}"/>
            </c:ext>
          </c:extLst>
        </c:ser>
        <c:ser>
          <c:idx val="1"/>
          <c:order val="1"/>
          <c:tx>
            <c:strRef>
              <c:f>'Dimensions coverage'!$C$2</c:f>
              <c:strCache>
                <c:ptCount val="1"/>
                <c:pt idx="0">
                  <c:v>Có dữ liệu định lượng</c:v>
                </c:pt>
              </c:strCache>
            </c:strRef>
          </c:tx>
          <c:spPr>
            <a:pattFill prst="ltDnDiag">
              <a:fgClr>
                <a:schemeClr val="accent5"/>
              </a:fgClr>
              <a:bgClr>
                <a:schemeClr val="accent5">
                  <a:lumMod val="20000"/>
                  <a:lumOff val="80000"/>
                </a:schemeClr>
              </a:bgClr>
            </a:pattFill>
            <a:ln>
              <a:solidFill>
                <a:schemeClr val="accent5"/>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'Dimensions coverage'!$A$3:$A$10</c:f>
              <c:strCache>
                <c:ptCount val="8"/>
                <c:pt idx="0">
                  <c:v>Năng lượng &amp; Khí hậu</c:v>
                </c:pt>
                <c:pt idx="1">
                  <c:v>Nước</c:v>
                </c:pt>
                <c:pt idx="2">
                  <c:v>Chất thải &amp; Nhựa</c:v>
                </c:pt>
                <c:pt idx="3">
                  <c:v>Thực phẩm &amp; Thu mua</c:v>
                </c:pt>
                <c:pt idx="4">
                  <c:v>Đa dạng sinh học &amp; Hệ sinh thái</c:v>
                </c:pt>
                <c:pt idx="5">
                  <c:v>Cộng đồng &amp; Con người</c:v>
                </c:pt>
                <c:pt idx="6">
                  <c:v>Văn hóa &amp; Di sản</c:v>
                </c:pt>
                <c:pt idx="7">
                  <c:v>Gắn kết khách hàng</c:v>
                </c:pt>
              </c:strCache>
            </c:strRef>
          </c:cat>
          <c:val>
            <c:numRef>
              <c:f>'Dimensions coverage'!$C$3:$C$10</c:f>
              <c:numCache>
                <c:formatCode>General</c:formatCode>
                <c:ptCount val="8"/>
                <c:pt idx="0">
                  <c:v>3</c:v>
                </c:pt>
                <c:pt idx="1">
                  <c:v>2</c:v>
                </c:pt>
                <c:pt idx="2">
                  <c:v>4</c:v>
                </c:pt>
                <c:pt idx="3">
                  <c:v>5</c:v>
                </c:pt>
                <c:pt idx="4">
                  <c:v>4</c:v>
                </c:pt>
                <c:pt idx="5">
                  <c:v>7</c:v>
                </c:pt>
                <c:pt idx="6">
                  <c:v>0</c:v>
                </c:pt>
                <c:pt idx="7">
                  <c:v>0</c:v>
                </c:pt>
              </c:numCache>
            </c:numRef>
          </c:val>
          <c:extLst>
            <c:ext xmlns:c16="http://schemas.microsoft.com/office/drawing/2014/chart" uri="{C3380CC4-5D6E-409C-BE32-E72D297353CC}">
              <c16:uniqueId val="{00000001-9205-4CFF-90B9-84C9DDF27149}"/>
            </c:ext>
          </c:extLst>
        </c:ser>
        <c:ser>
          <c:idx val="2"/>
          <c:order val="2"/>
          <c:tx>
            <c:v>Có nguồn bên ngoài</c:v>
          </c:tx>
          <c:spPr>
            <a:pattFill prst="ltDnDiag">
              <a:fgClr>
                <a:schemeClr val="accent4"/>
              </a:fgClr>
              <a:bgClr>
                <a:schemeClr val="accent4">
                  <a:lumMod val="20000"/>
                  <a:lumOff val="80000"/>
                </a:schemeClr>
              </a:bgClr>
            </a:pattFill>
            <a:ln>
              <a:solidFill>
                <a:schemeClr val="accent4"/>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Ref>
              <c:f>'Dimensions coverage'!$D$3:$D$10</c:f>
              <c:numCache>
                <c:formatCode>General</c:formatCode>
                <c:ptCount val="8"/>
                <c:pt idx="0">
                  <c:v>0</c:v>
                </c:pt>
                <c:pt idx="1">
                  <c:v>1</c:v>
                </c:pt>
                <c:pt idx="2">
                  <c:v>0</c:v>
                </c:pt>
                <c:pt idx="3">
                  <c:v>0</c:v>
                </c:pt>
                <c:pt idx="4">
                  <c:v>3</c:v>
                </c:pt>
                <c:pt idx="5">
                  <c:v>1</c:v>
                </c:pt>
                <c:pt idx="6">
                  <c:v>1</c:v>
                </c:pt>
                <c:pt idx="7">
                  <c:v>2</c:v>
                </c:pt>
              </c:numCache>
            </c:numRef>
          </c:val>
          <c:extLst>
            <c:ext xmlns:c16="http://schemas.microsoft.com/office/drawing/2014/chart" uri="{C3380CC4-5D6E-409C-BE32-E72D297353CC}">
              <c16:uniqueId val="{00000002-9205-4CFF-90B9-84C9DDF27149}"/>
            </c:ext>
          </c:extLst>
        </c:ser>
        <c:dLbls>
          <c:showLegendKey val="0"/>
          <c:showVal val="1"/>
          <c:showCatName val="0"/>
          <c:showSerName val="0"/>
          <c:showPercent val="0"/>
          <c:showBubbleSize val="0"/>
        </c:dLbls>
        <c:gapWidth val="150"/>
        <c:shape val="box"/>
        <c:axId val="1034930687"/>
        <c:axId val="981817887"/>
        <c:axId val="0"/>
      </c:bar3DChart>
      <c:catAx>
        <c:axId val="1034930687"/>
        <c:scaling>
          <c:orientation val="minMax"/>
        </c:scaling>
        <c:delete val="0"/>
        <c:axPos val="b"/>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981817887"/>
        <c:crosses val="autoZero"/>
        <c:auto val="1"/>
        <c:lblAlgn val="ctr"/>
        <c:lblOffset val="100"/>
        <c:noMultiLvlLbl val="0"/>
      </c:catAx>
      <c:valAx>
        <c:axId val="981817887"/>
        <c:scaling>
          <c:orientation val="minMax"/>
        </c:scaling>
        <c:delete val="0"/>
        <c:axPos val="l"/>
        <c:majorGridlines>
          <c:spPr>
            <a:ln>
              <a:solidFill>
                <a:schemeClr val="tx1">
                  <a:lumMod val="15000"/>
                  <a:lumOff val="85000"/>
                </a:schemeClr>
              </a:soli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034930687"/>
        <c:crosses val="autoZero"/>
        <c:crossBetween val="between"/>
      </c:valAx>
      <c:spPr>
        <a:noFill/>
        <a:ln>
          <a:noFill/>
        </a:ln>
      </c:spPr>
    </c:plotArea>
    <c:legend>
      <c:legendPos val="b"/>
      <c:layout>
        <c:manualLayout>
          <c:xMode val="edge"/>
          <c:yMode val="edge"/>
          <c:x val="7.5871726485342794E-2"/>
          <c:y val="0.87020332089261043"/>
          <c:w val="0.89999985357966605"/>
          <c:h val="8.2319103775215549E-2"/>
        </c:manualLayout>
      </c:layout>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r>
              <a:rPr lang="en-US" sz="1600"/>
              <a:t>Mức độ xác minh về dữ kiện</a:t>
            </a:r>
          </a:p>
        </c:rich>
      </c:tx>
      <c:overlay val="0"/>
      <c:spPr>
        <a:noFill/>
        <a:ln>
          <a:noFill/>
        </a:ln>
        <a:effectLst/>
      </c:sp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'Resort coverage'!$B$2</c:f>
              <c:strCache>
                <c:ptCount val="1"/>
                <c:pt idx="0">
                  <c:v>Số khía cạnh có bằng chứng hiện tại</c:v>
                </c:pt>
              </c:strCache>
            </c:strRef>
          </c:tx>
          <c:spPr>
            <a:pattFill prst="ltDnDiag">
              <a:fgClr>
                <a:schemeClr val="accent3">
                  <a:shade val="76000"/>
                </a:schemeClr>
              </a:fgClr>
              <a:bgClr>
                <a:schemeClr val="accent3">
                  <a:shade val="76000"/>
                  <a:lumMod val="20000"/>
                  <a:lumOff val="80000"/>
                </a:schemeClr>
              </a:bgClr>
            </a:pattFill>
            <a:ln>
              <a:solidFill>
                <a:schemeClr val="accent3">
                  <a:shade val="76000"/>
                </a:schemeClr>
              </a:solidFill>
            </a:ln>
            <a:effectLst/>
            <a:sp3d>
              <a:contourClr>
                <a:schemeClr val="accent3">
                  <a:shade val="76000"/>
                </a:schemeClr>
              </a:contourClr>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'Resort coverage'!$A$3:$A$12</c:f>
              <c:strCache>
                <c:ptCount val="10"/>
                <c:pt idx="0">
                  <c:v>Six Senses Ninh Van Bay</c:v>
                </c:pt>
                <c:pt idx="1">
                  <c:v>InterContinental Danang Sun Peninsula Resort</c:v>
                </c:pt>
                <c:pt idx="2">
                  <c:v>Banyan Tree Lang Co</c:v>
                </c:pt>
                <c:pt idx="3">
                  <c:v>Topas Ecolodge</c:v>
                </c:pt>
                <c:pt idx="4">
                  <c:v>The Westin Resort &amp; Spa Cam Ranh</c:v>
                </c:pt>
                <c:pt idx="5">
                  <c:v>Six Senses Con Dao</c:v>
                </c:pt>
                <c:pt idx="6">
                  <c:v>Mango Bay Phu Quoc</c:v>
                </c:pt>
                <c:pt idx="7">
                  <c:v>Avana Retreat</c:v>
                </c:pt>
                <c:pt idx="8">
                  <c:v>Silk Sense Hoi An River Resort</c:v>
                </c:pt>
                <c:pt idx="9">
                  <c:v>Legacy Mekong</c:v>
                </c:pt>
              </c:strCache>
            </c:strRef>
          </c:cat>
          <c:val>
            <c:numRef>
              <c:f>'Resort coverage'!$B$3:$B$12</c:f>
              <c:numCache>
                <c:formatCode>General</c:formatCode>
                <c:ptCount val="10"/>
                <c:pt idx="0">
                  <c:v>8</c:v>
                </c:pt>
                <c:pt idx="1">
                  <c:v>8</c:v>
                </c:pt>
                <c:pt idx="2">
                  <c:v>4</c:v>
                </c:pt>
                <c:pt idx="3">
                  <c:v>7</c:v>
                </c:pt>
                <c:pt idx="4">
                  <c:v>8</c:v>
                </c:pt>
                <c:pt idx="5">
                  <c:v>8</c:v>
                </c:pt>
                <c:pt idx="6">
                  <c:v>6</c:v>
                </c:pt>
                <c:pt idx="7">
                  <c:v>6</c:v>
                </c:pt>
                <c:pt idx="8">
                  <c:v>8</c:v>
                </c:pt>
                <c:pt idx="9">
                  <c:v>4</c:v>
                </c:pt>
              </c:numCache>
            </c:numRef>
          </c:val>
          <c:extLst>
            <c:ext xmlns:c16="http://schemas.microsoft.com/office/drawing/2014/chart" uri="{C3380CC4-5D6E-409C-BE32-E72D297353CC}">
              <c16:uniqueId val="{00000000-F6A1-4C1B-9DF1-314EFC10D45E}"/>
            </c:ext>
          </c:extLst>
        </c:ser>
        <c:ser>
          <c:idx val="1"/>
          <c:order val="1"/>
          <c:tx>
            <c:strRef>
              <c:f>'Resort coverage'!$C$2</c:f>
              <c:strCache>
                <c:ptCount val="1"/>
                <c:pt idx="0">
                  <c:v>Số khía cạnh có dữ liệu định lượng</c:v>
                </c:pt>
              </c:strCache>
            </c:strRef>
          </c:tx>
          <c:spPr>
            <a:pattFill prst="ltDnDiag">
              <a:fgClr>
                <a:schemeClr val="accent3">
                  <a:tint val="77000"/>
                </a:schemeClr>
              </a:fgClr>
              <a:bgClr>
                <a:schemeClr val="accent3">
                  <a:tint val="77000"/>
                  <a:lumMod val="20000"/>
                  <a:lumOff val="80000"/>
                </a:schemeClr>
              </a:bgClr>
            </a:pattFill>
            <a:ln>
              <a:solidFill>
                <a:schemeClr val="accent3">
                  <a:tint val="77000"/>
                </a:schemeClr>
              </a:solidFill>
            </a:ln>
            <a:effectLst/>
            <a:sp3d>
              <a:contourClr>
                <a:schemeClr val="accent3">
                  <a:tint val="77000"/>
                </a:schemeClr>
              </a:contourClr>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'Resort coverage'!$A$3:$A$12</c:f>
              <c:strCache>
                <c:ptCount val="10"/>
                <c:pt idx="0">
                  <c:v>Six Senses Ninh Van Bay</c:v>
                </c:pt>
                <c:pt idx="1">
                  <c:v>InterContinental Danang Sun Peninsula Resort</c:v>
                </c:pt>
                <c:pt idx="2">
                  <c:v>Banyan Tree Lang Co</c:v>
                </c:pt>
                <c:pt idx="3">
                  <c:v>Topas Ecolodge</c:v>
                </c:pt>
                <c:pt idx="4">
                  <c:v>The Westin Resort &amp; Spa Cam Ranh</c:v>
                </c:pt>
                <c:pt idx="5">
                  <c:v>Six Senses Con Dao</c:v>
                </c:pt>
                <c:pt idx="6">
                  <c:v>Mango Bay Phu Quoc</c:v>
                </c:pt>
                <c:pt idx="7">
                  <c:v>Avana Retreat</c:v>
                </c:pt>
                <c:pt idx="8">
                  <c:v>Silk Sense Hoi An River Resort</c:v>
                </c:pt>
                <c:pt idx="9">
                  <c:v>Legacy Mekong</c:v>
                </c:pt>
              </c:strCache>
            </c:strRef>
          </c:cat>
          <c:val>
            <c:numRef>
              <c:f>'Resort coverage'!$C$3:$C$12</c:f>
              <c:numCache>
                <c:formatCode>General</c:formatCode>
                <c:ptCount val="10"/>
                <c:pt idx="0">
                  <c:v>5</c:v>
                </c:pt>
                <c:pt idx="1">
                  <c:v>1</c:v>
                </c:pt>
                <c:pt idx="2">
                  <c:v>1</c:v>
                </c:pt>
                <c:pt idx="3">
                  <c:v>2</c:v>
                </c:pt>
                <c:pt idx="4">
                  <c:v>4</c:v>
                </c:pt>
                <c:pt idx="5">
                  <c:v>4</c:v>
                </c:pt>
                <c:pt idx="6">
                  <c:v>2</c:v>
                </c:pt>
                <c:pt idx="7">
                  <c:v>1</c:v>
                </c:pt>
                <c:pt idx="8">
                  <c:v>5</c:v>
                </c:pt>
                <c:pt idx="9">
                  <c:v>0</c:v>
                </c:pt>
              </c:numCache>
            </c:numRef>
          </c:val>
          <c:extLst>
            <c:ext xmlns:c16="http://schemas.microsoft.com/office/drawing/2014/chart" uri="{C3380CC4-5D6E-409C-BE32-E72D297353CC}">
              <c16:uniqueId val="{00000001-F6A1-4C1B-9DF1-314EFC10D45E}"/>
            </c:ext>
          </c:extLst>
        </c:ser>
        <c:dLbls>
          <c:showLegendKey val="0"/>
          <c:showVal val="1"/>
          <c:showCatName val="0"/>
          <c:showSerName val="0"/>
          <c:showPercent val="0"/>
          <c:showBubbleSize val="0"/>
        </c:dLbls>
        <c:gapWidth val="75"/>
        <c:shape val="box"/>
        <c:axId val="1798827727"/>
        <c:axId val="1789418239"/>
        <c:axId val="0"/>
      </c:bar3DChart>
      <c:catAx>
        <c:axId val="179882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1789418239"/>
        <c:crosses val="autoZero"/>
        <c:auto val="1"/>
        <c:lblAlgn val="ctr"/>
        <c:lblOffset val="100"/>
        <c:noMultiLvlLbl val="0"/>
      </c:catAx>
      <c:valAx>
        <c:axId val="178941823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14883</xdr:colOff>
      <xdr:row>28</xdr:row>
      <xdr:rowOff>103584</xdr:rowOff>
    </xdr:from>
    <xdr:to>
      <xdr:col>2</xdr:col>
      <xdr:colOff>361950</xdr:colOff>
      <xdr:row>43</xdr:row>
      <xdr:rowOff>47625</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416719</xdr:colOff>
      <xdr:row>0</xdr:row>
      <xdr:rowOff>0</xdr:rowOff>
    </xdr:from>
    <xdr:to>
      <xdr:col>15</xdr:col>
      <xdr:colOff>386953</xdr:colOff>
      <xdr:row>11</xdr:row>
      <xdr:rowOff>89297</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299786</xdr:colOff>
      <xdr:row>0</xdr:row>
      <xdr:rowOff>315829</xdr:rowOff>
    </xdr:from>
    <xdr:to>
      <xdr:col>17</xdr:col>
      <xdr:colOff>585536</xdr:colOff>
      <xdr:row>9</xdr:row>
      <xdr:rowOff>235117</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46" displayName="Table46" ref="A23:B27" totalsRowShown="0">
  <autoFilter ref="A23:B27" xr:uid="{00000000-0009-0000-0100-000005000000}"/>
  <tableColumns count="2">
    <tableColumn id="1" xr3:uid="{00000000-0010-0000-0000-000001000000}" name="Mức độ tiến triển của hoạt động"/>
    <tableColumn id="2" xr3:uid="{00000000-0010-0000-0000-000002000000}" name="Core &amp; supporting record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ustainabilityDataTable2" displayName="SustainabilityDataTable2" ref="A1:O1048554" totalsRowCount="1">
  <autoFilter ref="A1:O1048553" xr:uid="{00000000-0009-0000-0100-000003000000}"/>
  <tableColumns count="15">
    <tableColumn id="2" xr3:uid="{00000000-0010-0000-0100-000002000000}" name="Resort" dataDxfId="24"/>
    <tableColumn id="3" xr3:uid="{00000000-0010-0000-0100-000003000000}" name="Năm"/>
    <tableColumn id="4" xr3:uid="{00000000-0010-0000-0100-000004000000}" name="Dimension"/>
    <tableColumn id="5" xr3:uid="{00000000-0010-0000-0100-000005000000}" name="Practice / Initiative"/>
    <tableColumn id="6" xr3:uid="{00000000-0010-0000-0100-000006000000}" name="Thông tin / Minh chứng chính"/>
    <tableColumn id="7" xr3:uid="{00000000-0010-0000-0100-000007000000}" name="Keep?" totalsRowFunction="custom">
      <totalsRowFormula>COUNTA(F2:F131)</totalsRowFormula>
    </tableColumn>
    <tableColumn id="8" xr3:uid="{00000000-0010-0000-0100-000008000000}" name="Chỉ số"/>
    <tableColumn id="9" xr3:uid="{00000000-0010-0000-0100-000009000000}" name="Đơn vị"/>
    <tableColumn id="10" xr3:uid="{00000000-0010-0000-0100-00000A000000}" name="Loại minh chứng"/>
    <tableColumn id="12" xr3:uid="{00000000-0010-0000-0100-00000C000000}" name="Guest-facing?"/>
    <tableColumn id="13" xr3:uid="{00000000-0010-0000-0100-00000D000000}" name="Evidence Stage"/>
    <tableColumn id="14" xr3:uid="{00000000-0010-0000-0100-00000E000000}" name="Ghi chú"/>
    <tableColumn id="15" xr3:uid="{00000000-0010-0000-0100-00000F000000}" name="Discussion Tag"/>
    <tableColumn id="16" xr3:uid="{00000000-0010-0000-0100-000010000000}" name="Operational Area(s)"/>
    <tableColumn id="17" xr3:uid="{00000000-0010-0000-0100-000011000000}" name="Mức độ tích hợp"/>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ManagementIntegrationTable2" displayName="ManagementIntegrationTable2" ref="A1:N30">
  <autoFilter ref="A1:N30" xr:uid="{00000000-0009-0000-0100-000001000000}"/>
  <tableColumns count="14">
    <tableColumn id="2" xr3:uid="{00000000-0010-0000-0200-000002000000}" name="Khu nghỉ dưỡng" dataDxfId="23"/>
    <tableColumn id="3" xr3:uid="{00000000-0010-0000-0200-000003000000}" name="Phạm vi" dataDxfId="22"/>
    <tableColumn id="4" xr3:uid="{00000000-0010-0000-0200-000004000000}" name="Năm" dataDxfId="21"/>
    <tableColumn id="5" xr3:uid="{00000000-0010-0000-0200-000005000000}" name="Management / Integration Practice" dataDxfId="20"/>
    <tableColumn id="6" xr3:uid="{00000000-0010-0000-0200-000006000000}" name="Thông tin lọc được" dataDxfId="19"/>
    <tableColumn id="7" xr3:uid="{00000000-0010-0000-0200-000007000000}" name="Keep?" dataDxfId="18"/>
    <tableColumn id="8" xr3:uid="{00000000-0010-0000-0200-000008000000}" name="Metric" dataDxfId="17"/>
    <tableColumn id="9" xr3:uid="{00000000-0010-0000-0200-000009000000}" name="Unit" dataDxfId="16"/>
    <tableColumn id="10" xr3:uid="{00000000-0010-0000-0200-00000A000000}" name="Evidence Type" dataDxfId="15"/>
    <tableColumn id="11" xr3:uid="{00000000-0010-0000-0200-00000B000000}" name="Nguồn từ" dataDxfId="14"/>
    <tableColumn id="12" xr3:uid="{00000000-0010-0000-0200-00000C000000}" name="Evidence Stage" dataDxfId="13"/>
    <tableColumn id="13" xr3:uid="{00000000-0010-0000-0200-00000D000000}" name="Mức độ tích hợp" dataDxfId="12"/>
    <tableColumn id="14" xr3:uid="{00000000-0010-0000-0200-00000E000000}" name="Ghi chú" dataDxfId="11"/>
    <tableColumn id="17" xr3:uid="{00000000-0010-0000-0200-000011000000}" name="Source Link" dataDxfId="10"/>
  </tableColumns>
  <tableStyleInfo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LogTable25" displayName="SourceLogTable25" ref="A2:G48">
  <tableColumns count="7">
    <tableColumn id="1" xr3:uid="{00000000-0010-0000-0300-000001000000}" name="Source / label"/>
    <tableColumn id="2" xr3:uid="{00000000-0010-0000-0300-000002000000}" name="Resort(s)"/>
    <tableColumn id="3" xr3:uid="{00000000-0010-0000-0300-000003000000}" name="Dimension / scope"/>
    <tableColumn id="4" xr3:uid="{00000000-0010-0000-0300-000004000000}" name="Evidence type(s)"/>
    <tableColumn id="5" xr3:uid="{00000000-0010-0000-0300-000005000000}" name="Số record dùng"/>
    <tableColumn id="6" xr3:uid="{00000000-0010-0000-0300-000006000000}" name="Source category"/>
    <tableColumn id="7" xr3:uid="{00000000-0010-0000-0300-000007000000}" name="URL"/>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tourismcantho.vn/resort-azerai-can-tho/" TargetMode="External"/><Relationship Id="rId1" Type="http://schemas.openxmlformats.org/officeDocument/2006/relationships/hyperlink" Target="https://www.marriott.com/en-us/hotels/vcalm-legacy-mekong-can-tho-autograph-collection/dining/"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serve360.marriott.com/" TargetMode="External"/><Relationship Id="rId1" Type="http://schemas.openxmlformats.org/officeDocument/2006/relationships/hyperlink" Target="https://serve360.marriot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workbookViewId="0">
      <selection activeCell="B7" sqref="B7"/>
    </sheetView>
  </sheetViews>
  <sheetFormatPr defaultRowHeight="14.25"/>
  <cols>
    <col min="1" max="1" width="13" customWidth="1"/>
    <col min="2" max="2" width="16.125" customWidth="1"/>
    <col min="3" max="3" width="17.75" customWidth="1"/>
    <col min="4" max="5" width="16.625" customWidth="1"/>
    <col min="6" max="6" width="16.125" customWidth="1"/>
    <col min="7" max="7" width="16.75" customWidth="1"/>
    <col min="8" max="8" width="13.125" customWidth="1"/>
    <col min="9" max="9" width="14.625" customWidth="1"/>
    <col min="10" max="10" width="12.25" customWidth="1"/>
    <col min="11" max="11" width="9" style="61"/>
    <col min="12" max="12" width="9" style="61" hidden="1" customWidth="1"/>
    <col min="13" max="13" width="5.25" style="61" hidden="1" customWidth="1"/>
    <col min="14" max="14" width="6.125" style="61" customWidth="1"/>
  </cols>
  <sheetData>
    <row r="1" spans="1:14" ht="28.5" customHeight="1">
      <c r="A1" s="73" t="s">
        <v>0</v>
      </c>
      <c r="B1" s="73"/>
      <c r="C1" s="73"/>
      <c r="D1" s="73"/>
      <c r="E1" s="73"/>
      <c r="F1" s="73"/>
      <c r="G1" s="73"/>
      <c r="H1" s="73"/>
      <c r="I1" s="73"/>
      <c r="J1" s="73"/>
      <c r="K1" s="73"/>
      <c r="L1" s="73"/>
      <c r="M1" s="73"/>
      <c r="N1" s="73"/>
    </row>
    <row r="2" spans="1:14" ht="36.75" customHeight="1">
      <c r="A2" s="42" t="s">
        <v>1</v>
      </c>
      <c r="B2" s="59" t="s">
        <v>2</v>
      </c>
      <c r="C2" s="42" t="s">
        <v>3</v>
      </c>
      <c r="D2" s="42" t="s">
        <v>4</v>
      </c>
      <c r="E2" s="42" t="s">
        <v>5</v>
      </c>
      <c r="F2" s="42" t="s">
        <v>6</v>
      </c>
      <c r="G2" s="42" t="s">
        <v>7</v>
      </c>
      <c r="H2" s="42" t="s">
        <v>8</v>
      </c>
      <c r="I2" s="42" t="s">
        <v>9</v>
      </c>
      <c r="J2" s="42" t="s">
        <v>10</v>
      </c>
      <c r="K2" s="74" t="s">
        <v>11</v>
      </c>
      <c r="L2" s="74"/>
      <c r="M2" s="74"/>
      <c r="N2" s="74"/>
    </row>
    <row r="3" spans="1:14" ht="72">
      <c r="A3" s="36" t="s">
        <v>12</v>
      </c>
      <c r="B3" s="60" t="s">
        <v>13</v>
      </c>
      <c r="C3" s="37" t="s">
        <v>14</v>
      </c>
      <c r="D3" s="37" t="s">
        <v>15</v>
      </c>
      <c r="E3" s="37" t="s">
        <v>16</v>
      </c>
      <c r="F3" s="37" t="s">
        <v>17</v>
      </c>
      <c r="G3" s="37" t="s">
        <v>18</v>
      </c>
      <c r="H3" s="37" t="s">
        <v>19</v>
      </c>
      <c r="I3" s="37" t="s">
        <v>20</v>
      </c>
      <c r="J3" s="37" t="s">
        <v>21</v>
      </c>
      <c r="K3" s="72" t="s">
        <v>22</v>
      </c>
      <c r="L3" s="72"/>
      <c r="M3" s="72"/>
      <c r="N3" s="72"/>
    </row>
    <row r="4" spans="1:14" ht="84">
      <c r="A4" s="38" t="s">
        <v>23</v>
      </c>
      <c r="B4" s="80" t="s">
        <v>24</v>
      </c>
      <c r="C4" s="39" t="s">
        <v>25</v>
      </c>
      <c r="D4" s="39" t="s">
        <v>26</v>
      </c>
      <c r="E4" s="39" t="s">
        <v>27</v>
      </c>
      <c r="F4" s="39" t="s">
        <v>28</v>
      </c>
      <c r="G4" s="39" t="s">
        <v>29</v>
      </c>
      <c r="H4" s="39" t="s">
        <v>30</v>
      </c>
      <c r="I4" s="39" t="s">
        <v>31</v>
      </c>
      <c r="J4" s="39" t="s">
        <v>32</v>
      </c>
      <c r="K4" s="81" t="s">
        <v>33</v>
      </c>
      <c r="L4" s="81"/>
      <c r="M4" s="81"/>
      <c r="N4" s="81"/>
    </row>
    <row r="5" spans="1:14" ht="96">
      <c r="A5" s="36" t="s">
        <v>34</v>
      </c>
      <c r="B5" s="60" t="s">
        <v>35</v>
      </c>
      <c r="C5" s="37" t="s">
        <v>36</v>
      </c>
      <c r="D5" s="37" t="s">
        <v>37</v>
      </c>
      <c r="E5" s="37" t="s">
        <v>38</v>
      </c>
      <c r="F5" s="37" t="s">
        <v>39</v>
      </c>
      <c r="G5" s="37" t="s">
        <v>40</v>
      </c>
      <c r="H5" s="37" t="s">
        <v>41</v>
      </c>
      <c r="I5" s="37" t="s">
        <v>42</v>
      </c>
      <c r="J5" s="37" t="s">
        <v>43</v>
      </c>
      <c r="K5" s="72" t="s">
        <v>44</v>
      </c>
      <c r="L5" s="72"/>
      <c r="M5" s="72"/>
      <c r="N5" s="72"/>
    </row>
    <row r="6" spans="1:14" ht="72">
      <c r="A6" s="38" t="s">
        <v>45</v>
      </c>
      <c r="B6" s="80" t="s">
        <v>46</v>
      </c>
      <c r="C6" s="39" t="s">
        <v>47</v>
      </c>
      <c r="D6" s="39" t="s">
        <v>48</v>
      </c>
      <c r="E6" s="39" t="s">
        <v>49</v>
      </c>
      <c r="F6" s="39" t="s">
        <v>50</v>
      </c>
      <c r="G6" s="39" t="s">
        <v>51</v>
      </c>
      <c r="H6" s="39" t="s">
        <v>52</v>
      </c>
      <c r="I6" s="39" t="s">
        <v>53</v>
      </c>
      <c r="J6" s="39" t="s">
        <v>54</v>
      </c>
      <c r="K6" s="81" t="s">
        <v>55</v>
      </c>
      <c r="L6" s="81"/>
      <c r="M6" s="81"/>
      <c r="N6" s="81"/>
    </row>
    <row r="7" spans="1:14" ht="84">
      <c r="A7" s="36" t="s">
        <v>56</v>
      </c>
      <c r="B7" s="82" t="s">
        <v>57</v>
      </c>
      <c r="C7" s="37" t="s">
        <v>58</v>
      </c>
      <c r="D7" s="37" t="s">
        <v>59</v>
      </c>
      <c r="E7" s="37" t="s">
        <v>60</v>
      </c>
      <c r="F7" s="37" t="s">
        <v>61</v>
      </c>
      <c r="G7" s="37" t="s">
        <v>62</v>
      </c>
      <c r="H7" s="37" t="s">
        <v>63</v>
      </c>
      <c r="I7" s="37" t="s">
        <v>64</v>
      </c>
      <c r="J7" s="37" t="s">
        <v>65</v>
      </c>
      <c r="K7" s="72" t="s">
        <v>66</v>
      </c>
      <c r="L7" s="72"/>
      <c r="M7" s="72"/>
      <c r="N7" s="72"/>
    </row>
    <row r="8" spans="1:14" ht="72">
      <c r="A8" s="38" t="s">
        <v>67</v>
      </c>
      <c r="B8" s="80" t="s">
        <v>68</v>
      </c>
      <c r="C8" s="79" t="s">
        <v>69</v>
      </c>
      <c r="D8" s="39" t="s">
        <v>70</v>
      </c>
      <c r="E8" s="39" t="s">
        <v>71</v>
      </c>
      <c r="F8" s="39" t="s">
        <v>72</v>
      </c>
      <c r="G8" s="39" t="s">
        <v>73</v>
      </c>
      <c r="H8" s="39" t="s">
        <v>74</v>
      </c>
      <c r="I8" s="39" t="s">
        <v>75</v>
      </c>
      <c r="J8" s="39" t="s">
        <v>76</v>
      </c>
      <c r="K8" s="81" t="s">
        <v>77</v>
      </c>
      <c r="L8" s="81"/>
      <c r="M8" s="81"/>
      <c r="N8" s="81"/>
    </row>
    <row r="9" spans="1:14" s="86" customFormat="1" ht="84">
      <c r="A9" s="83" t="s">
        <v>78</v>
      </c>
      <c r="B9" s="82" t="s">
        <v>79</v>
      </c>
      <c r="C9" s="84" t="s">
        <v>80</v>
      </c>
      <c r="D9" s="84" t="s">
        <v>81</v>
      </c>
      <c r="E9" s="84" t="s">
        <v>82</v>
      </c>
      <c r="F9" s="84" t="s">
        <v>83</v>
      </c>
      <c r="G9" s="84" t="s">
        <v>84</v>
      </c>
      <c r="H9" s="84" t="s">
        <v>85</v>
      </c>
      <c r="I9" s="84" t="s">
        <v>86</v>
      </c>
      <c r="J9" s="84" t="s">
        <v>87</v>
      </c>
      <c r="K9" s="85" t="s">
        <v>88</v>
      </c>
      <c r="L9" s="85"/>
      <c r="M9" s="85"/>
      <c r="N9" s="85"/>
    </row>
    <row r="10" spans="1:14" ht="72">
      <c r="A10" s="38" t="s">
        <v>89</v>
      </c>
      <c r="B10" s="80" t="s">
        <v>90</v>
      </c>
      <c r="C10" s="39" t="s">
        <v>91</v>
      </c>
      <c r="D10" s="39" t="s">
        <v>92</v>
      </c>
      <c r="E10" s="39" t="s">
        <v>93</v>
      </c>
      <c r="F10" s="39" t="s">
        <v>94</v>
      </c>
      <c r="G10" s="39" t="s">
        <v>95</v>
      </c>
      <c r="H10" s="39" t="s">
        <v>96</v>
      </c>
      <c r="I10" s="39" t="s">
        <v>97</v>
      </c>
      <c r="J10" s="39" t="s">
        <v>98</v>
      </c>
      <c r="K10" s="81" t="s">
        <v>99</v>
      </c>
      <c r="L10" s="81"/>
      <c r="M10" s="81"/>
      <c r="N10" s="81"/>
    </row>
    <row r="11" spans="1:14" ht="72">
      <c r="A11" s="36" t="s">
        <v>100</v>
      </c>
      <c r="B11" s="60" t="s">
        <v>101</v>
      </c>
      <c r="C11" s="37" t="s">
        <v>102</v>
      </c>
      <c r="D11" s="37" t="s">
        <v>103</v>
      </c>
      <c r="E11" s="37" t="s">
        <v>104</v>
      </c>
      <c r="F11" s="37" t="s">
        <v>105</v>
      </c>
      <c r="G11" s="37" t="s">
        <v>106</v>
      </c>
      <c r="H11" s="37" t="s">
        <v>107</v>
      </c>
      <c r="I11" s="37" t="s">
        <v>108</v>
      </c>
      <c r="J11" s="37" t="s">
        <v>109</v>
      </c>
      <c r="K11" s="72" t="s">
        <v>110</v>
      </c>
      <c r="L11" s="72"/>
      <c r="M11" s="72"/>
      <c r="N11" s="72"/>
    </row>
    <row r="12" spans="1:14" ht="84">
      <c r="A12" s="38" t="s">
        <v>111</v>
      </c>
      <c r="B12" s="80" t="s">
        <v>112</v>
      </c>
      <c r="C12" s="39" t="s">
        <v>113</v>
      </c>
      <c r="D12" s="39" t="s">
        <v>114</v>
      </c>
      <c r="E12" s="39" t="s">
        <v>114</v>
      </c>
      <c r="F12" s="39" t="s">
        <v>115</v>
      </c>
      <c r="G12" s="39" t="s">
        <v>116</v>
      </c>
      <c r="H12" s="39" t="s">
        <v>117</v>
      </c>
      <c r="I12" s="39" t="s">
        <v>118</v>
      </c>
      <c r="J12" s="39" t="s">
        <v>119</v>
      </c>
      <c r="K12" s="81" t="s">
        <v>120</v>
      </c>
      <c r="L12" s="81"/>
      <c r="M12" s="81"/>
      <c r="N12" s="81"/>
    </row>
  </sheetData>
  <mergeCells count="12">
    <mergeCell ref="K9:N9"/>
    <mergeCell ref="K10:N10"/>
    <mergeCell ref="K11:N11"/>
    <mergeCell ref="K12:N12"/>
    <mergeCell ref="A1:N1"/>
    <mergeCell ref="K2:N2"/>
    <mergeCell ref="K3:N3"/>
    <mergeCell ref="K4:N4"/>
    <mergeCell ref="K5:N5"/>
    <mergeCell ref="K6:N6"/>
    <mergeCell ref="K7:N7"/>
    <mergeCell ref="K8: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workbookViewId="0">
      <selection sqref="A1:C1"/>
    </sheetView>
  </sheetViews>
  <sheetFormatPr defaultRowHeight="14.25"/>
  <cols>
    <col min="1" max="1" width="19.5" customWidth="1"/>
    <col min="2" max="2" width="24.125" customWidth="1"/>
    <col min="3" max="3" width="41" customWidth="1"/>
  </cols>
  <sheetData>
    <row r="1" spans="1:9" ht="27.95" customHeight="1">
      <c r="A1" s="75" t="s">
        <v>121</v>
      </c>
      <c r="B1" s="75"/>
      <c r="C1" s="75"/>
      <c r="D1" s="35"/>
      <c r="E1" s="35"/>
      <c r="F1" s="35"/>
      <c r="G1" s="35"/>
      <c r="H1" s="35"/>
      <c r="I1" s="35"/>
    </row>
    <row r="2" spans="1:9" ht="24" customHeight="1">
      <c r="A2" s="34" t="s">
        <v>1</v>
      </c>
      <c r="B2" s="34" t="s">
        <v>122</v>
      </c>
      <c r="C2" s="34" t="s">
        <v>123</v>
      </c>
    </row>
    <row r="3" spans="1:9" ht="54">
      <c r="A3" s="30" t="s">
        <v>12</v>
      </c>
      <c r="B3" s="40" t="s">
        <v>124</v>
      </c>
      <c r="C3" s="40" t="s">
        <v>125</v>
      </c>
    </row>
    <row r="4" spans="1:9" ht="54">
      <c r="A4" s="32" t="s">
        <v>23</v>
      </c>
      <c r="B4" s="41" t="s">
        <v>126</v>
      </c>
      <c r="C4" s="41" t="s">
        <v>127</v>
      </c>
    </row>
    <row r="5" spans="1:9" ht="40.5">
      <c r="A5" s="30" t="s">
        <v>34</v>
      </c>
      <c r="B5" s="40" t="s">
        <v>128</v>
      </c>
      <c r="C5" s="31" t="s">
        <v>129</v>
      </c>
    </row>
    <row r="6" spans="1:9" ht="40.5">
      <c r="A6" s="32" t="s">
        <v>45</v>
      </c>
      <c r="B6" s="41" t="s">
        <v>130</v>
      </c>
      <c r="C6" s="33" t="s">
        <v>131</v>
      </c>
    </row>
    <row r="7" spans="1:9" ht="54">
      <c r="A7" s="30" t="s">
        <v>56</v>
      </c>
      <c r="B7" s="40" t="s">
        <v>132</v>
      </c>
      <c r="C7" s="40" t="s">
        <v>133</v>
      </c>
    </row>
    <row r="8" spans="1:9" ht="54">
      <c r="A8" s="32" t="s">
        <v>67</v>
      </c>
      <c r="B8" s="41" t="s">
        <v>134</v>
      </c>
      <c r="C8" s="41" t="s">
        <v>135</v>
      </c>
    </row>
    <row r="9" spans="1:9" ht="40.5">
      <c r="A9" s="30" t="s">
        <v>78</v>
      </c>
      <c r="B9" s="40" t="s">
        <v>136</v>
      </c>
      <c r="C9" s="40" t="s">
        <v>137</v>
      </c>
    </row>
    <row r="10" spans="1:9" ht="54">
      <c r="A10" s="32" t="s">
        <v>89</v>
      </c>
      <c r="B10" s="41" t="s">
        <v>138</v>
      </c>
      <c r="C10" s="41" t="s">
        <v>139</v>
      </c>
    </row>
    <row r="11" spans="1:9" ht="40.5">
      <c r="A11" s="30" t="s">
        <v>100</v>
      </c>
      <c r="B11" s="40" t="s">
        <v>140</v>
      </c>
      <c r="C11" s="31" t="s">
        <v>141</v>
      </c>
    </row>
    <row r="12" spans="1:9" ht="40.5">
      <c r="A12" s="32" t="s">
        <v>111</v>
      </c>
      <c r="B12" s="41" t="s">
        <v>142</v>
      </c>
      <c r="C12" s="33" t="s">
        <v>143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workbookViewId="0">
      <selection activeCell="D32" sqref="D32"/>
    </sheetView>
  </sheetViews>
  <sheetFormatPr defaultRowHeight="14.25"/>
  <cols>
    <col min="1" max="1" width="31" customWidth="1"/>
    <col min="2" max="2" width="26.375" customWidth="1"/>
    <col min="3" max="3" width="22" customWidth="1"/>
    <col min="4" max="4" width="36.375" customWidth="1"/>
    <col min="5" max="6" width="22" customWidth="1"/>
    <col min="7" max="7" width="15.125" customWidth="1"/>
    <col min="8" max="8" width="16.5" customWidth="1"/>
    <col min="9" max="9" width="20.25" customWidth="1"/>
    <col min="10" max="10" width="17.625" customWidth="1"/>
    <col min="11" max="11" width="14.75" customWidth="1"/>
    <col min="12" max="12" width="14.625" customWidth="1"/>
    <col min="13" max="13" width="60.375" style="71" customWidth="1"/>
    <col min="14" max="14" width="9" customWidth="1"/>
  </cols>
  <sheetData>
    <row r="1" spans="1:13" ht="45.75" customHeight="1">
      <c r="A1" s="76" t="s">
        <v>144</v>
      </c>
      <c r="B1" s="76"/>
      <c r="C1" s="76"/>
      <c r="D1" s="76"/>
      <c r="E1" s="76"/>
      <c r="F1" s="76"/>
      <c r="G1" s="76"/>
      <c r="H1" s="76"/>
      <c r="I1" s="76"/>
      <c r="J1" s="76"/>
      <c r="K1" s="76"/>
      <c r="L1" s="76"/>
      <c r="M1" s="76"/>
    </row>
    <row r="2" spans="1:13" s="71" customFormat="1" ht="42.75" customHeight="1">
      <c r="A2" s="46" t="s">
        <v>145</v>
      </c>
      <c r="B2" s="46" t="s">
        <v>146</v>
      </c>
      <c r="C2" s="66" t="s">
        <v>147</v>
      </c>
      <c r="D2" s="15" t="s">
        <v>1</v>
      </c>
      <c r="E2" s="15" t="s">
        <v>3</v>
      </c>
      <c r="F2" s="15" t="s">
        <v>4</v>
      </c>
      <c r="G2" s="15" t="s">
        <v>5</v>
      </c>
      <c r="H2" s="15" t="s">
        <v>6</v>
      </c>
      <c r="I2" s="15" t="s">
        <v>7</v>
      </c>
      <c r="J2" s="15" t="s">
        <v>8</v>
      </c>
      <c r="K2" s="15" t="s">
        <v>9</v>
      </c>
      <c r="L2" s="15" t="s">
        <v>10</v>
      </c>
      <c r="M2" s="15" t="s">
        <v>148</v>
      </c>
    </row>
    <row r="3" spans="1:13" ht="43.5">
      <c r="A3" s="9" t="s">
        <v>149</v>
      </c>
      <c r="B3" s="8" t="s">
        <v>150</v>
      </c>
      <c r="C3" s="67" t="s">
        <v>151</v>
      </c>
      <c r="D3" s="47" t="s">
        <v>12</v>
      </c>
      <c r="E3" s="16" t="s">
        <v>152</v>
      </c>
      <c r="F3" s="16" t="s">
        <v>153</v>
      </c>
      <c r="G3" s="16" t="s">
        <v>152</v>
      </c>
      <c r="H3" s="16" t="s">
        <v>152</v>
      </c>
      <c r="I3" s="16" t="s">
        <v>149</v>
      </c>
      <c r="J3" s="16" t="s">
        <v>149</v>
      </c>
      <c r="K3" s="16" t="s">
        <v>153</v>
      </c>
      <c r="L3" s="16" t="s">
        <v>154</v>
      </c>
      <c r="M3" s="71" t="s">
        <v>155</v>
      </c>
    </row>
    <row r="4" spans="1:13" ht="72">
      <c r="A4" s="10" t="s">
        <v>154</v>
      </c>
      <c r="B4" s="8" t="s">
        <v>156</v>
      </c>
      <c r="C4" s="67" t="s">
        <v>157</v>
      </c>
      <c r="D4" s="47" t="s">
        <v>23</v>
      </c>
      <c r="E4" s="16" t="s">
        <v>153</v>
      </c>
      <c r="F4" s="16" t="s">
        <v>154</v>
      </c>
      <c r="G4" s="16" t="s">
        <v>153</v>
      </c>
      <c r="H4" s="16" t="s">
        <v>153</v>
      </c>
      <c r="I4" s="16" t="s">
        <v>152</v>
      </c>
      <c r="J4" s="16" t="s">
        <v>153</v>
      </c>
      <c r="K4" s="16" t="s">
        <v>153</v>
      </c>
      <c r="L4" s="16" t="s">
        <v>154</v>
      </c>
      <c r="M4" s="71" t="s">
        <v>158</v>
      </c>
    </row>
    <row r="5" spans="1:13" ht="42.75">
      <c r="A5" s="11" t="s">
        <v>152</v>
      </c>
      <c r="B5" s="8" t="s">
        <v>159</v>
      </c>
      <c r="C5" s="67" t="s">
        <v>160</v>
      </c>
      <c r="D5" s="47" t="s">
        <v>34</v>
      </c>
      <c r="E5" s="16" t="s">
        <v>161</v>
      </c>
      <c r="F5" s="16" t="s">
        <v>162</v>
      </c>
      <c r="G5" s="16" t="s">
        <v>162</v>
      </c>
      <c r="H5" s="16" t="s">
        <v>161</v>
      </c>
      <c r="I5" s="16" t="s">
        <v>152</v>
      </c>
      <c r="J5" s="16" t="s">
        <v>153</v>
      </c>
      <c r="K5" s="16" t="s">
        <v>153</v>
      </c>
      <c r="L5" s="16" t="s">
        <v>153</v>
      </c>
      <c r="M5" s="71" t="s">
        <v>163</v>
      </c>
    </row>
    <row r="6" spans="1:13" ht="43.5">
      <c r="A6" s="12" t="s">
        <v>153</v>
      </c>
      <c r="B6" s="8" t="s">
        <v>164</v>
      </c>
      <c r="C6" s="67" t="s">
        <v>165</v>
      </c>
      <c r="D6" s="47" t="s">
        <v>45</v>
      </c>
      <c r="E6" s="16" t="s">
        <v>153</v>
      </c>
      <c r="F6" s="16" t="s">
        <v>153</v>
      </c>
      <c r="G6" s="16" t="s">
        <v>153</v>
      </c>
      <c r="H6" s="16" t="s">
        <v>152</v>
      </c>
      <c r="I6" s="16" t="s">
        <v>161</v>
      </c>
      <c r="J6" s="16" t="s">
        <v>152</v>
      </c>
      <c r="K6" s="16" t="s">
        <v>153</v>
      </c>
      <c r="L6" s="16" t="s">
        <v>153</v>
      </c>
      <c r="M6" s="71" t="s">
        <v>166</v>
      </c>
    </row>
    <row r="7" spans="1:13" ht="57.75">
      <c r="A7" s="13" t="s">
        <v>161</v>
      </c>
      <c r="B7" s="8" t="s">
        <v>167</v>
      </c>
      <c r="C7" s="67" t="s">
        <v>168</v>
      </c>
      <c r="D7" s="47" t="s">
        <v>56</v>
      </c>
      <c r="E7" s="16" t="s">
        <v>152</v>
      </c>
      <c r="F7" s="16" t="s">
        <v>152</v>
      </c>
      <c r="G7" s="16" t="s">
        <v>152</v>
      </c>
      <c r="H7" s="16" t="s">
        <v>153</v>
      </c>
      <c r="I7" s="16" t="s">
        <v>153</v>
      </c>
      <c r="J7" s="16" t="s">
        <v>152</v>
      </c>
      <c r="K7" s="16" t="s">
        <v>153</v>
      </c>
      <c r="L7" s="16" t="s">
        <v>153</v>
      </c>
      <c r="M7" s="71" t="s">
        <v>169</v>
      </c>
    </row>
    <row r="8" spans="1:13" ht="57.75">
      <c r="A8" s="14" t="s">
        <v>162</v>
      </c>
      <c r="B8" s="8" t="s">
        <v>170</v>
      </c>
      <c r="C8" s="67" t="s">
        <v>171</v>
      </c>
      <c r="D8" s="47" t="s">
        <v>67</v>
      </c>
      <c r="E8" s="16" t="s">
        <v>153</v>
      </c>
      <c r="F8" s="16" t="s">
        <v>153</v>
      </c>
      <c r="G8" s="16" t="s">
        <v>152</v>
      </c>
      <c r="H8" s="16" t="s">
        <v>152</v>
      </c>
      <c r="I8" s="16" t="s">
        <v>152</v>
      </c>
      <c r="J8" s="16" t="s">
        <v>152</v>
      </c>
      <c r="K8" s="16" t="s">
        <v>153</v>
      </c>
      <c r="L8" s="16" t="s">
        <v>153</v>
      </c>
      <c r="M8" s="71" t="s">
        <v>172</v>
      </c>
    </row>
    <row r="9" spans="1:13" ht="57.75">
      <c r="A9" s="68" t="s">
        <v>173</v>
      </c>
      <c r="B9" s="69" t="s">
        <v>174</v>
      </c>
      <c r="C9" s="70" t="s">
        <v>175</v>
      </c>
      <c r="D9" s="47" t="s">
        <v>78</v>
      </c>
      <c r="E9" s="16" t="s">
        <v>153</v>
      </c>
      <c r="F9" s="16" t="s">
        <v>153</v>
      </c>
      <c r="G9" s="16" t="s">
        <v>153</v>
      </c>
      <c r="H9" s="16" t="s">
        <v>152</v>
      </c>
      <c r="I9" s="16" t="s">
        <v>173</v>
      </c>
      <c r="J9" s="16" t="s">
        <v>152</v>
      </c>
      <c r="K9" s="16" t="s">
        <v>153</v>
      </c>
      <c r="L9" s="16" t="s">
        <v>161</v>
      </c>
      <c r="M9" s="71" t="s">
        <v>176</v>
      </c>
    </row>
    <row r="10" spans="1:13" ht="42.75">
      <c r="D10" s="47" t="s">
        <v>89</v>
      </c>
      <c r="E10" s="16" t="s">
        <v>161</v>
      </c>
      <c r="F10" s="16" t="s">
        <v>161</v>
      </c>
      <c r="G10" s="16" t="s">
        <v>153</v>
      </c>
      <c r="H10" s="16" t="s">
        <v>153</v>
      </c>
      <c r="I10" s="16" t="s">
        <v>154</v>
      </c>
      <c r="J10" s="16" t="s">
        <v>152</v>
      </c>
      <c r="K10" s="16" t="s">
        <v>153</v>
      </c>
      <c r="L10" s="16" t="s">
        <v>153</v>
      </c>
      <c r="M10" s="71" t="s">
        <v>177</v>
      </c>
    </row>
    <row r="11" spans="1:13" ht="38.1" customHeight="1">
      <c r="D11" s="47" t="s">
        <v>100</v>
      </c>
      <c r="E11" s="16" t="s">
        <v>152</v>
      </c>
      <c r="F11" s="16" t="s">
        <v>152</v>
      </c>
      <c r="G11" s="16" t="s">
        <v>152</v>
      </c>
      <c r="H11" s="16" t="s">
        <v>152</v>
      </c>
      <c r="I11" s="16" t="s">
        <v>153</v>
      </c>
      <c r="J11" s="16" t="s">
        <v>152</v>
      </c>
      <c r="K11" s="16" t="s">
        <v>153</v>
      </c>
      <c r="L11" s="16" t="s">
        <v>153</v>
      </c>
      <c r="M11" s="71" t="s">
        <v>178</v>
      </c>
    </row>
    <row r="12" spans="1:13" ht="71.25">
      <c r="D12" s="47" t="s">
        <v>111</v>
      </c>
      <c r="E12" s="16" t="s">
        <v>173</v>
      </c>
      <c r="F12" s="16" t="s">
        <v>161</v>
      </c>
      <c r="G12" s="16" t="s">
        <v>161</v>
      </c>
      <c r="H12" s="16" t="s">
        <v>153</v>
      </c>
      <c r="I12" s="16" t="s">
        <v>154</v>
      </c>
      <c r="J12" s="16" t="s">
        <v>161</v>
      </c>
      <c r="K12" s="16" t="s">
        <v>154</v>
      </c>
      <c r="L12" s="16" t="s">
        <v>153</v>
      </c>
      <c r="M12" s="71" t="s">
        <v>179</v>
      </c>
    </row>
    <row r="20" spans="1:2" ht="75" customHeight="1"/>
    <row r="23" spans="1:2">
      <c r="A23" t="s">
        <v>180</v>
      </c>
      <c r="B23" t="s">
        <v>181</v>
      </c>
    </row>
    <row r="24" spans="1:2">
      <c r="A24" t="s">
        <v>182</v>
      </c>
      <c r="B24">
        <v>53</v>
      </c>
    </row>
    <row r="25" spans="1:2">
      <c r="A25" t="s">
        <v>183</v>
      </c>
      <c r="B25">
        <v>44</v>
      </c>
    </row>
    <row r="26" spans="1:2">
      <c r="A26" t="s">
        <v>184</v>
      </c>
      <c r="B26">
        <v>10</v>
      </c>
    </row>
    <row r="27" spans="1:2">
      <c r="A27" t="s">
        <v>185</v>
      </c>
      <c r="B27">
        <v>1</v>
      </c>
    </row>
  </sheetData>
  <mergeCells count="1">
    <mergeCell ref="A1:M1"/>
  </mergeCells>
  <conditionalFormatting sqref="E3:L12">
    <cfRule type="expression" dxfId="9" priority="1">
      <formula>E3="NB+ĐL"</formula>
    </cfRule>
    <cfRule type="expression" dxfId="8" priority="2">
      <formula>E3="NB"</formula>
    </cfRule>
    <cfRule type="expression" dxfId="7" priority="3">
      <formula>E3="ĐL"</formula>
    </cfRule>
    <cfRule type="expression" dxfId="6" priority="4">
      <formula>E3="ĐT"</formula>
    </cfRule>
    <cfRule type="expression" dxfId="5" priority="5">
      <formula>E3="TT"</formula>
    </cfRule>
    <cfRule type="expression" dxfId="4" priority="6">
      <formula>E3="BC"</formula>
    </cfRule>
    <cfRule type="expression" dxfId="3" priority="7">
      <formula>E3="LS"</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tabSelected="1" topLeftCell="E1" workbookViewId="0">
      <selection activeCell="B3" sqref="B3"/>
    </sheetView>
  </sheetViews>
  <sheetFormatPr defaultRowHeight="14.25"/>
  <cols>
    <col min="1" max="1" width="34" customWidth="1"/>
    <col min="2" max="2" width="23.75" customWidth="1"/>
    <col min="3" max="4" width="18" customWidth="1"/>
    <col min="5" max="6" width="20" customWidth="1"/>
    <col min="7" max="7" width="18" customWidth="1"/>
  </cols>
  <sheetData>
    <row r="1" spans="1:7" s="64" customFormat="1" ht="27.95" customHeight="1">
      <c r="A1" s="76" t="s">
        <v>186</v>
      </c>
      <c r="B1" s="76"/>
      <c r="C1" s="76"/>
      <c r="D1" s="76"/>
      <c r="E1" s="76"/>
      <c r="F1" s="76"/>
      <c r="G1" s="76"/>
    </row>
    <row r="2" spans="1:7" s="44" customFormat="1" ht="38.1" customHeight="1">
      <c r="A2" s="15" t="s">
        <v>187</v>
      </c>
      <c r="B2" s="15" t="s">
        <v>188</v>
      </c>
      <c r="C2" s="15" t="s">
        <v>189</v>
      </c>
      <c r="D2" s="15" t="s">
        <v>190</v>
      </c>
      <c r="E2" s="15" t="s">
        <v>191</v>
      </c>
      <c r="F2" s="15" t="s">
        <v>167</v>
      </c>
      <c r="G2" s="15" t="s">
        <v>192</v>
      </c>
    </row>
    <row r="3" spans="1:7" ht="15">
      <c r="A3" s="47" t="s">
        <v>3</v>
      </c>
      <c r="B3" s="8">
        <f>COUNTIF('Mức độ xác minh dữ kiện'!E$3:E$12,"NB+ĐL")+COUNTIF('Mức độ xác minh dữ kiện'!E$3:E$12,"NB")+COUNTIF('Mức độ xác minh dữ kiện'!E$3:E$12,"ĐL")+COUNTIF('Mức độ xác minh dữ kiện'!E$3:E$12,"ĐT")</f>
        <v>7</v>
      </c>
      <c r="C3" s="8">
        <f>COUNTIF('Mức độ xác minh dữ kiện'!E$3:E$12,"NB+ĐL")+COUNTIF('Mức độ xác minh dữ kiện'!E$3:E$12,"ĐL")</f>
        <v>3</v>
      </c>
      <c r="D3" s="8">
        <f>COUNTIF('Mức độ xác minh dữ kiện'!E$3:E$12,"NB+ĐL")+COUNTIF('Mức độ xác minh dữ kiện'!E$3:E$12,"NB")</f>
        <v>0</v>
      </c>
      <c r="E3" s="8">
        <f>COUNTIF('Mức độ xác minh dữ kiện'!E$3:E$12,"ĐT")</f>
        <v>4</v>
      </c>
      <c r="F3" s="8">
        <f>COUNTIF('Mức độ xác minh dữ kiện'!E$3:E$12,"TT")</f>
        <v>2</v>
      </c>
      <c r="G3" s="8">
        <f>COUNTIF('Mức độ xác minh dữ kiện'!E$3:E$12,"BC")+COUNTIF('Mức độ xác minh dữ kiện'!E$3:E$12,"LS")</f>
        <v>1</v>
      </c>
    </row>
    <row r="4" spans="1:7" ht="15">
      <c r="A4" s="47" t="s">
        <v>4</v>
      </c>
      <c r="B4" s="8">
        <f>COUNTIF('Mức độ xác minh dữ kiện'!F$3:F$12,"NB+ĐL")+COUNTIF('Mức độ xác minh dữ kiện'!F$3:F$12,"NB")+COUNTIF('Mức độ xác minh dữ kiện'!F$3:F$12,"ĐL")+COUNTIF('Mức độ xác minh dữ kiện'!F$3:F$12,"ĐT")</f>
        <v>7</v>
      </c>
      <c r="C4" s="8">
        <f>COUNTIF('Mức độ xác minh dữ kiện'!F$3:F$12,"NB+ĐL")+COUNTIF('Mức độ xác minh dữ kiện'!F$3:F$12,"ĐL")</f>
        <v>2</v>
      </c>
      <c r="D4" s="8">
        <f>COUNTIF('Mức độ xác minh dữ kiện'!F$3:F$12,"NB+ĐL")+COUNTIF('Mức độ xác minh dữ kiện'!F$3:F$12,"NB")</f>
        <v>1</v>
      </c>
      <c r="E4" s="8">
        <f>COUNTIF('Mức độ xác minh dữ kiện'!F$3:F$12,"ĐT")</f>
        <v>4</v>
      </c>
      <c r="F4" s="8">
        <f>COUNTIF('Mức độ xác minh dữ kiện'!F$3:F$12,"TT")</f>
        <v>2</v>
      </c>
      <c r="G4" s="8">
        <f>COUNTIF('Mức độ xác minh dữ kiện'!F$3:F$12,"BC")+COUNTIF('Mức độ xác minh dữ kiện'!F$3:F$12,"LS")</f>
        <v>1</v>
      </c>
    </row>
    <row r="5" spans="1:7" ht="15">
      <c r="A5" s="47" t="s">
        <v>5</v>
      </c>
      <c r="B5" s="8">
        <f>COUNTIF('Mức độ xác minh dữ kiện'!G$3:G$12,"NB+ĐL")+COUNTIF('Mức độ xác minh dữ kiện'!G$3:G$12,"NB")+COUNTIF('Mức độ xác minh dữ kiện'!G$3:G$12,"ĐL")+COUNTIF('Mức độ xác minh dữ kiện'!G$3:G$12,"ĐT")</f>
        <v>8</v>
      </c>
      <c r="C5" s="8">
        <f>COUNTIF('Mức độ xác minh dữ kiện'!G$3:G$12,"NB+ĐL")+COUNTIF('Mức độ xác minh dữ kiện'!G$3:G$12,"ĐL")</f>
        <v>4</v>
      </c>
      <c r="D5" s="8">
        <f>COUNTIF('Mức độ xác minh dữ kiện'!G$3:G$12,"NB+ĐL")+COUNTIF('Mức độ xác minh dữ kiện'!G$3:G$12,"NB")</f>
        <v>0</v>
      </c>
      <c r="E5" s="8">
        <f>COUNTIF('Mức độ xác minh dữ kiện'!G$3:G$12,"ĐT")</f>
        <v>4</v>
      </c>
      <c r="F5" s="8">
        <f>COUNTIF('Mức độ xác minh dữ kiện'!G$3:G$12,"TT")</f>
        <v>1</v>
      </c>
      <c r="G5" s="8">
        <f>COUNTIF('Mức độ xác minh dữ kiện'!G$3:G$12,"BC")+COUNTIF('Mức độ xác minh dữ kiện'!G$3:G$12,"LS")</f>
        <v>1</v>
      </c>
    </row>
    <row r="6" spans="1:7" ht="15">
      <c r="A6" s="47" t="s">
        <v>6</v>
      </c>
      <c r="B6" s="8">
        <f>COUNTIF('Mức độ xác minh dữ kiện'!H$3:H$12,"NB+ĐL")+COUNTIF('Mức độ xác minh dữ kiện'!H$3:H$12,"NB")+COUNTIF('Mức độ xác minh dữ kiện'!H$3:H$12,"ĐL")+COUNTIF('Mức độ xác minh dữ kiện'!H$3:H$12,"ĐT")</f>
        <v>9</v>
      </c>
      <c r="C6" s="8">
        <f>COUNTIF('Mức độ xác minh dữ kiện'!H$3:H$12,"NB+ĐL")+COUNTIF('Mức độ xác minh dữ kiện'!H$3:H$12,"ĐL")</f>
        <v>5</v>
      </c>
      <c r="D6" s="8">
        <f>COUNTIF('Mức độ xác minh dữ kiện'!H$3:H$12,"NB+ĐL")+COUNTIF('Mức độ xác minh dữ kiện'!H$3:H$12,"NB")</f>
        <v>0</v>
      </c>
      <c r="E6" s="8">
        <f>COUNTIF('Mức độ xác minh dữ kiện'!H$3:H$12,"ĐT")</f>
        <v>4</v>
      </c>
      <c r="F6" s="8">
        <f>COUNTIF('Mức độ xác minh dữ kiện'!H$3:H$12,"TT")</f>
        <v>1</v>
      </c>
      <c r="G6" s="8">
        <f>COUNTIF('Mức độ xác minh dữ kiện'!H$3:H$12,"BC")+COUNTIF('Mức độ xác minh dữ kiện'!H$3:H$12,"LS")</f>
        <v>0</v>
      </c>
    </row>
    <row r="7" spans="1:7" ht="15">
      <c r="A7" s="47" t="s">
        <v>7</v>
      </c>
      <c r="B7" s="8">
        <f>COUNTIF('Mức độ xác minh dữ kiện'!I$3:I$12,"NB+ĐL")+COUNTIF('Mức độ xác minh dữ kiện'!I$3:I$12,"NB")+COUNTIF('Mức độ xác minh dữ kiện'!I$3:I$12,"ĐL")+COUNTIF('Mức độ xác minh dữ kiện'!I$3:I$12,"ĐT")</f>
        <v>8</v>
      </c>
      <c r="C7" s="8">
        <f>COUNTIF('Mức độ xác minh dữ kiện'!I$3:I$12,"NB+ĐL")+COUNTIF('Mức độ xác minh dữ kiện'!I$3:I$12,"ĐL")</f>
        <v>4</v>
      </c>
      <c r="D7" s="8">
        <f>COUNTIF('Mức độ xác minh dữ kiện'!I$3:I$12,"NB+ĐL")+COUNTIF('Mức độ xác minh dữ kiện'!I$3:I$12,"NB")</f>
        <v>3</v>
      </c>
      <c r="E7" s="8">
        <f>COUNTIF('Mức độ xác minh dữ kiện'!I$3:I$12,"ĐT")</f>
        <v>2</v>
      </c>
      <c r="F7" s="8">
        <f>COUNTIF('Mức độ xác minh dữ kiện'!I$3:I$12,"TT")</f>
        <v>1</v>
      </c>
      <c r="G7" s="8">
        <f>COUNTIF('Mức độ xác minh dữ kiện'!I$3:I$12,"BC")+COUNTIF('Mức độ xác minh dữ kiện'!I$3:I$12,"LS")</f>
        <v>1</v>
      </c>
    </row>
    <row r="8" spans="1:7" ht="15">
      <c r="A8" s="47" t="s">
        <v>8</v>
      </c>
      <c r="B8" s="8">
        <f>COUNTIF('Mức độ xác minh dữ kiện'!J$3:J$12,"NB+ĐL")+COUNTIF('Mức độ xác minh dữ kiện'!J$3:J$12,"NB")+COUNTIF('Mức độ xác minh dữ kiện'!J$3:J$12,"ĐL")+COUNTIF('Mức độ xác minh dữ kiện'!J$3:J$12,"ĐT")</f>
        <v>9</v>
      </c>
      <c r="C8" s="8">
        <f>COUNTIF('Mức độ xác minh dữ kiện'!J$3:J$12,"NB+ĐL")+COUNTIF('Mức độ xác minh dữ kiện'!J$3:J$12,"ĐL")</f>
        <v>7</v>
      </c>
      <c r="D8" s="8">
        <f>COUNTIF('Mức độ xác minh dữ kiện'!J$3:J$12,"NB+ĐL")+COUNTIF('Mức độ xác minh dữ kiện'!J$3:J$12,"NB")</f>
        <v>1</v>
      </c>
      <c r="E8" s="8">
        <f>COUNTIF('Mức độ xác minh dữ kiện'!J$3:J$12,"ĐT")</f>
        <v>2</v>
      </c>
      <c r="F8" s="8">
        <f>COUNTIF('Mức độ xác minh dữ kiện'!J$3:J$12,"TT")</f>
        <v>1</v>
      </c>
      <c r="G8" s="8">
        <f>COUNTIF('Mức độ xác minh dữ kiện'!J$3:J$12,"BC")+COUNTIF('Mức độ xác minh dữ kiện'!J$3:J$12,"LS")</f>
        <v>0</v>
      </c>
    </row>
    <row r="9" spans="1:7" ht="15">
      <c r="A9" s="47" t="s">
        <v>9</v>
      </c>
      <c r="B9" s="8">
        <f>COUNTIF('Mức độ xác minh dữ kiện'!K$3:K$12,"NB+ĐL")+COUNTIF('Mức độ xác minh dữ kiện'!K$3:K$12,"NB")+COUNTIF('Mức độ xác minh dữ kiện'!K$3:K$12,"ĐL")+COUNTIF('Mức độ xác minh dữ kiện'!K$3:K$12,"ĐT")</f>
        <v>10</v>
      </c>
      <c r="C9" s="8">
        <f>COUNTIF('Mức độ xác minh dữ kiện'!K$3:K$12,"NB+ĐL")+COUNTIF('Mức độ xác minh dữ kiện'!K$3:K$12,"ĐL")</f>
        <v>0</v>
      </c>
      <c r="D9" s="8">
        <f>COUNTIF('Mức độ xác minh dữ kiện'!K$3:K$12,"NB+ĐL")+COUNTIF('Mức độ xác minh dữ kiện'!K$3:K$12,"NB")</f>
        <v>1</v>
      </c>
      <c r="E9" s="8">
        <f>COUNTIF('Mức độ xác minh dữ kiện'!K$3:K$12,"ĐT")</f>
        <v>9</v>
      </c>
      <c r="F9" s="8">
        <f>COUNTIF('Mức độ xác minh dữ kiện'!K$3:K$12,"TT")</f>
        <v>0</v>
      </c>
      <c r="G9" s="8">
        <f>COUNTIF('Mức độ xác minh dữ kiện'!K$3:K$12,"BC")+COUNTIF('Mức độ xác minh dữ kiện'!K$3:K$12,"LS")</f>
        <v>0</v>
      </c>
    </row>
    <row r="10" spans="1:7" ht="15">
      <c r="A10" s="47" t="s">
        <v>10</v>
      </c>
      <c r="B10" s="8">
        <f>COUNTIF('Mức độ xác minh dữ kiện'!L$3:L$12,"NB+ĐL")+COUNTIF('Mức độ xác minh dữ kiện'!L$3:L$12,"NB")+COUNTIF('Mức độ xác minh dữ kiện'!L$3:L$12,"ĐL")+COUNTIF('Mức độ xác minh dữ kiện'!L$3:L$12,"ĐT")</f>
        <v>9</v>
      </c>
      <c r="C10" s="8">
        <f>COUNTIF('Mức độ xác minh dữ kiện'!L$3:L$12,"NB+ĐL")+COUNTIF('Mức độ xác minh dữ kiện'!L$3:L$12,"ĐL")</f>
        <v>0</v>
      </c>
      <c r="D10" s="8">
        <f>COUNTIF('Mức độ xác minh dữ kiện'!L$3:L$12,"NB+ĐL")+COUNTIF('Mức độ xác minh dữ kiện'!L$3:L$12,"NB")</f>
        <v>2</v>
      </c>
      <c r="E10" s="8">
        <f>COUNTIF('Mức độ xác minh dữ kiện'!L$3:L$12,"ĐT")</f>
        <v>7</v>
      </c>
      <c r="F10" s="8">
        <f>COUNTIF('Mức độ xác minh dữ kiện'!L$3:L$12,"TT")</f>
        <v>1</v>
      </c>
      <c r="G10" s="8">
        <f>COUNTIF('Mức độ xác minh dữ kiện'!L$3:L$12,"BC")+COUNTIF('Mức độ xác minh dữ kiện'!L$3:L$12,"LS")</f>
        <v>0</v>
      </c>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topLeftCell="H1" zoomScale="91" zoomScaleNormal="91" workbookViewId="0">
      <selection activeCell="M10" sqref="M10"/>
    </sheetView>
  </sheetViews>
  <sheetFormatPr defaultRowHeight="14.25"/>
  <cols>
    <col min="1" max="1" width="18.125" customWidth="1"/>
    <col min="2" max="2" width="21" customWidth="1"/>
    <col min="3" max="6" width="18" customWidth="1"/>
    <col min="7" max="7" width="19" customWidth="1"/>
    <col min="8" max="8" width="46" customWidth="1"/>
    <col min="9" max="9" width="50" customWidth="1"/>
  </cols>
  <sheetData>
    <row r="1" spans="1:9" ht="27.95" customHeight="1">
      <c r="A1" s="76" t="s">
        <v>193</v>
      </c>
      <c r="B1" s="76"/>
      <c r="C1" s="76"/>
      <c r="D1" s="76"/>
      <c r="E1" s="76"/>
      <c r="F1" s="76"/>
      <c r="G1" s="76"/>
      <c r="H1" s="76"/>
      <c r="I1" s="76"/>
    </row>
    <row r="2" spans="1:9" s="44" customFormat="1" ht="42" customHeight="1">
      <c r="A2" s="45" t="s">
        <v>1</v>
      </c>
      <c r="B2" s="15" t="s">
        <v>194</v>
      </c>
      <c r="C2" s="15" t="s">
        <v>195</v>
      </c>
      <c r="D2" s="15" t="s">
        <v>196</v>
      </c>
      <c r="E2" s="15" t="s">
        <v>197</v>
      </c>
      <c r="F2" s="15" t="s">
        <v>198</v>
      </c>
      <c r="G2" s="15" t="s">
        <v>199</v>
      </c>
      <c r="H2" s="15" t="s">
        <v>200</v>
      </c>
      <c r="I2" s="15" t="s">
        <v>201</v>
      </c>
    </row>
    <row r="3" spans="1:9" ht="30">
      <c r="A3" s="47" t="s">
        <v>12</v>
      </c>
      <c r="B3" s="8">
        <f>COUNTIF('Mức độ xác minh dữ kiện'!$E3:$L3,"NB+ĐL")+COUNTIF('Mức độ xác minh dữ kiện'!$E3:$L3,"NB")+COUNTIF('Mức độ xác minh dữ kiện'!$E3:$L3,"ĐL")+COUNTIF('Mức độ xác minh dữ kiện'!$E3:$L3,"ĐT")</f>
        <v>8</v>
      </c>
      <c r="C3" s="8">
        <f>COUNTIF('Mức độ xác minh dữ kiện'!$E3:$L3,"NB+ĐL")+COUNTIF('Mức độ xác minh dữ kiện'!$E3:$L3,"ĐL")</f>
        <v>5</v>
      </c>
      <c r="D3" s="8">
        <f>COUNTIF('Mức độ xác minh dữ kiện'!$E3:$L3,"NB+ĐL")+COUNTIF('Mức độ xác minh dữ kiện'!$E3:$L3,"NB")</f>
        <v>3</v>
      </c>
      <c r="E3" s="8">
        <f>COUNTIF('Mức độ xác minh dữ kiện'!$E3:$L3,"ĐT")</f>
        <v>2</v>
      </c>
      <c r="F3" s="8">
        <f>COUNTIF('Mức độ xác minh dữ kiện'!$E3:$L3,"TT")</f>
        <v>0</v>
      </c>
      <c r="G3" s="8">
        <f>COUNTIF('Mức độ xác minh dữ kiện'!$E3:$L3,"BC")+COUNTIF('Mức độ xác minh dữ kiện'!$E3:$L3,"LS")</f>
        <v>0</v>
      </c>
      <c r="H3" s="8" t="s">
        <v>155</v>
      </c>
      <c r="I3" s="8" t="s">
        <v>202</v>
      </c>
    </row>
    <row r="4" spans="1:9" ht="45">
      <c r="A4" s="47" t="s">
        <v>23</v>
      </c>
      <c r="B4" s="8">
        <f>COUNTIF('Mức độ xác minh dữ kiện'!$E4:$L4,"NB+ĐL")+COUNTIF('Mức độ xác minh dữ kiện'!$E4:$L4,"NB")+COUNTIF('Mức độ xác minh dữ kiện'!$E4:$L4,"ĐL")+COUNTIF('Mức độ xác minh dữ kiện'!$E4:$L4,"ĐT")</f>
        <v>8</v>
      </c>
      <c r="C4" s="8">
        <f>COUNTIF('Mức độ xác minh dữ kiện'!$E4:$L4,"NB+ĐL")+COUNTIF('Mức độ xác minh dữ kiện'!$E4:$L4,"ĐL")</f>
        <v>1</v>
      </c>
      <c r="D4" s="8">
        <f>COUNTIF('Mức độ xác minh dữ kiện'!$E4:$L4,"NB+ĐL")+COUNTIF('Mức độ xác minh dữ kiện'!$E4:$L4,"NB")</f>
        <v>2</v>
      </c>
      <c r="E4" s="8">
        <f>COUNTIF('Mức độ xác minh dữ kiện'!$E4:$L4,"ĐT")</f>
        <v>5</v>
      </c>
      <c r="F4" s="8">
        <f>COUNTIF('Mức độ xác minh dữ kiện'!$E4:$L4,"TT")</f>
        <v>0</v>
      </c>
      <c r="G4" s="8">
        <f>COUNTIF('Mức độ xác minh dữ kiện'!$E4:$L4,"BC")+COUNTIF('Mức độ xác minh dữ kiện'!$E4:$L4,"LS")</f>
        <v>0</v>
      </c>
      <c r="H4" s="8" t="s">
        <v>158</v>
      </c>
      <c r="I4" s="8" t="s">
        <v>203</v>
      </c>
    </row>
    <row r="5" spans="1:9" ht="43.5">
      <c r="A5" s="47" t="s">
        <v>34</v>
      </c>
      <c r="B5" s="8">
        <f>COUNTIF('Mức độ xác minh dữ kiện'!$E5:$L5,"NB+ĐL")+COUNTIF('Mức độ xác minh dữ kiện'!$E5:$L5,"NB")+COUNTIF('Mức độ xác minh dữ kiện'!$E5:$L5,"ĐL")+COUNTIF('Mức độ xác minh dữ kiện'!$E5:$L5,"ĐT")</f>
        <v>4</v>
      </c>
      <c r="C5" s="8">
        <f>COUNTIF('Mức độ xác minh dữ kiện'!$E5:$L5,"NB+ĐL")+COUNTIF('Mức độ xác minh dữ kiện'!$E5:$L5,"ĐL")</f>
        <v>1</v>
      </c>
      <c r="D5" s="8">
        <f>COUNTIF('Mức độ xác minh dữ kiện'!$E5:$L5,"NB+ĐL")+COUNTIF('Mức độ xác minh dữ kiện'!$E5:$L5,"NB")</f>
        <v>0</v>
      </c>
      <c r="E5" s="8">
        <f>COUNTIF('Mức độ xác minh dữ kiện'!$E5:$L5,"ĐT")</f>
        <v>3</v>
      </c>
      <c r="F5" s="8">
        <f>COUNTIF('Mức độ xác minh dữ kiện'!$E5:$L5,"TT")</f>
        <v>2</v>
      </c>
      <c r="G5" s="8">
        <f>COUNTIF('Mức độ xác minh dữ kiện'!$E5:$L5,"BC")+COUNTIF('Mức độ xác minh dữ kiện'!$E5:$L5,"LS")</f>
        <v>2</v>
      </c>
      <c r="H5" s="8" t="s">
        <v>163</v>
      </c>
      <c r="I5" s="8" t="s">
        <v>204</v>
      </c>
    </row>
    <row r="6" spans="1:9" ht="43.5">
      <c r="A6" s="47" t="s">
        <v>45</v>
      </c>
      <c r="B6" s="8">
        <f>COUNTIF('Mức độ xác minh dữ kiện'!$E6:$L6,"NB+ĐL")+COUNTIF('Mức độ xác minh dữ kiện'!$E6:$L6,"NB")+COUNTIF('Mức độ xác minh dữ kiện'!$E6:$L6,"ĐL")+COUNTIF('Mức độ xác minh dữ kiện'!$E6:$L6,"ĐT")</f>
        <v>7</v>
      </c>
      <c r="C6" s="8">
        <f>COUNTIF('Mức độ xác minh dữ kiện'!$E6:$L6,"NB+ĐL")+COUNTIF('Mức độ xác minh dữ kiện'!$E6:$L6,"ĐL")</f>
        <v>2</v>
      </c>
      <c r="D6" s="8">
        <f>COUNTIF('Mức độ xác minh dữ kiện'!$E6:$L6,"NB+ĐL")+COUNTIF('Mức độ xác minh dữ kiện'!$E6:$L6,"NB")</f>
        <v>0</v>
      </c>
      <c r="E6" s="8">
        <f>COUNTIF('Mức độ xác minh dữ kiện'!$E6:$L6,"ĐT")</f>
        <v>5</v>
      </c>
      <c r="F6" s="8">
        <f>COUNTIF('Mức độ xác minh dữ kiện'!$E6:$L6,"TT")</f>
        <v>1</v>
      </c>
      <c r="G6" s="8">
        <f>COUNTIF('Mức độ xác minh dữ kiện'!$E6:$L6,"BC")+COUNTIF('Mức độ xác minh dữ kiện'!$E6:$L6,"LS")</f>
        <v>0</v>
      </c>
      <c r="H6" s="8" t="s">
        <v>166</v>
      </c>
      <c r="I6" s="8" t="s">
        <v>205</v>
      </c>
    </row>
    <row r="7" spans="1:9" ht="43.5">
      <c r="A7" s="47" t="s">
        <v>56</v>
      </c>
      <c r="B7" s="8">
        <f>COUNTIF('Mức độ xác minh dữ kiện'!$E7:$L7,"NB+ĐL")+COUNTIF('Mức độ xác minh dữ kiện'!$E7:$L7,"NB")+COUNTIF('Mức độ xác minh dữ kiện'!$E7:$L7,"ĐL")+COUNTIF('Mức độ xác minh dữ kiện'!$E7:$L7,"ĐT")</f>
        <v>8</v>
      </c>
      <c r="C7" s="8">
        <f>COUNTIF('Mức độ xác minh dữ kiện'!$E7:$L7,"NB+ĐL")+COUNTIF('Mức độ xác minh dữ kiện'!$E7:$L7,"ĐL")</f>
        <v>4</v>
      </c>
      <c r="D7" s="8">
        <f>COUNTIF('Mức độ xác minh dữ kiện'!$E7:$L7,"NB+ĐL")+COUNTIF('Mức độ xác minh dữ kiện'!$E7:$L7,"NB")</f>
        <v>0</v>
      </c>
      <c r="E7" s="8">
        <f>COUNTIF('Mức độ xác minh dữ kiện'!$E7:$L7,"ĐT")</f>
        <v>4</v>
      </c>
      <c r="F7" s="8">
        <f>COUNTIF('Mức độ xác minh dữ kiện'!$E7:$L7,"TT")</f>
        <v>0</v>
      </c>
      <c r="G7" s="8">
        <f>COUNTIF('Mức độ xác minh dữ kiện'!$E7:$L7,"BC")+COUNTIF('Mức độ xác minh dữ kiện'!$E7:$L7,"LS")</f>
        <v>0</v>
      </c>
      <c r="H7" s="8" t="s">
        <v>169</v>
      </c>
      <c r="I7" s="8" t="s">
        <v>206</v>
      </c>
    </row>
    <row r="8" spans="1:9" ht="30">
      <c r="A8" s="47" t="s">
        <v>67</v>
      </c>
      <c r="B8" s="8">
        <f>COUNTIF('Mức độ xác minh dữ kiện'!$E8:$L8,"NB+ĐL")+COUNTIF('Mức độ xác minh dữ kiện'!$E8:$L8,"NB")+COUNTIF('Mức độ xác minh dữ kiện'!$E8:$L8,"ĐL")+COUNTIF('Mức độ xác minh dữ kiện'!$E8:$L8,"ĐT")</f>
        <v>8</v>
      </c>
      <c r="C8" s="8">
        <f>COUNTIF('Mức độ xác minh dữ kiện'!$E8:$L8,"NB+ĐL")+COUNTIF('Mức độ xác minh dữ kiện'!$E8:$L8,"ĐL")</f>
        <v>4</v>
      </c>
      <c r="D8" s="8">
        <f>COUNTIF('Mức độ xác minh dữ kiện'!$E8:$L8,"NB+ĐL")+COUNTIF('Mức độ xác minh dữ kiện'!$E8:$L8,"NB")</f>
        <v>0</v>
      </c>
      <c r="E8" s="8">
        <f>COUNTIF('Mức độ xác minh dữ kiện'!$E8:$L8,"ĐT")</f>
        <v>4</v>
      </c>
      <c r="F8" s="8">
        <f>COUNTIF('Mức độ xác minh dữ kiện'!$E8:$L8,"TT")</f>
        <v>0</v>
      </c>
      <c r="G8" s="8">
        <f>COUNTIF('Mức độ xác minh dữ kiện'!$E8:$L8,"BC")+COUNTIF('Mức độ xác minh dữ kiện'!$E8:$L8,"LS")</f>
        <v>0</v>
      </c>
      <c r="H8" s="8" t="s">
        <v>172</v>
      </c>
      <c r="I8" s="8" t="s">
        <v>207</v>
      </c>
    </row>
    <row r="9" spans="1:9" ht="30">
      <c r="A9" s="47" t="s">
        <v>78</v>
      </c>
      <c r="B9" s="8">
        <f>COUNTIF('Mức độ xác minh dữ kiện'!$E9:$L9,"NB+ĐL")+COUNTIF('Mức độ xác minh dữ kiện'!$E9:$L9,"NB")+COUNTIF('Mức độ xác minh dữ kiện'!$E9:$L9,"ĐL")+COUNTIF('Mức độ xác minh dữ kiện'!$E9:$L9,"ĐT")</f>
        <v>6</v>
      </c>
      <c r="C9" s="8">
        <f>COUNTIF('Mức độ xác minh dữ kiện'!$E9:$L9,"NB+ĐL")+COUNTIF('Mức độ xác minh dữ kiện'!$E9:$L9,"ĐL")</f>
        <v>2</v>
      </c>
      <c r="D9" s="8">
        <f>COUNTIF('Mức độ xác minh dữ kiện'!$E9:$L9,"NB+ĐL")+COUNTIF('Mức độ xác minh dữ kiện'!$E9:$L9,"NB")</f>
        <v>0</v>
      </c>
      <c r="E9" s="8">
        <f>COUNTIF('Mức độ xác minh dữ kiện'!$E9:$L9,"ĐT")</f>
        <v>4</v>
      </c>
      <c r="F9" s="8">
        <f>COUNTIF('Mức độ xác minh dữ kiện'!$E9:$L9,"TT")</f>
        <v>1</v>
      </c>
      <c r="G9" s="8">
        <f>COUNTIF('Mức độ xác minh dữ kiện'!$E9:$L9,"BC")+COUNTIF('Mức độ xác minh dữ kiện'!$E9:$L9,"LS")</f>
        <v>1</v>
      </c>
      <c r="H9" s="8" t="s">
        <v>176</v>
      </c>
      <c r="I9" s="8" t="s">
        <v>208</v>
      </c>
    </row>
    <row r="10" spans="1:9" ht="43.5">
      <c r="A10" s="47" t="s">
        <v>89</v>
      </c>
      <c r="B10" s="8">
        <f>COUNTIF('Mức độ xác minh dữ kiện'!$E10:$L10,"NB+ĐL")+COUNTIF('Mức độ xác minh dữ kiện'!$E10:$L10,"NB")+COUNTIF('Mức độ xác minh dữ kiện'!$E10:$L10,"ĐL")+COUNTIF('Mức độ xác minh dữ kiện'!$E10:$L10,"ĐT")</f>
        <v>6</v>
      </c>
      <c r="C10" s="8">
        <f>COUNTIF('Mức độ xác minh dữ kiện'!$E10:$L10,"NB+ĐL")+COUNTIF('Mức độ xác minh dữ kiện'!$E10:$L10,"ĐL")</f>
        <v>1</v>
      </c>
      <c r="D10" s="8">
        <f>COUNTIF('Mức độ xác minh dữ kiện'!$E10:$L10,"NB+ĐL")+COUNTIF('Mức độ xác minh dữ kiện'!$E10:$L10,"NB")</f>
        <v>1</v>
      </c>
      <c r="E10" s="8">
        <f>COUNTIF('Mức độ xác minh dữ kiện'!$E10:$L10,"ĐT")</f>
        <v>4</v>
      </c>
      <c r="F10" s="8">
        <f>COUNTIF('Mức độ xác minh dữ kiện'!$E10:$L10,"TT")</f>
        <v>2</v>
      </c>
      <c r="G10" s="8">
        <f>COUNTIF('Mức độ xác minh dữ kiện'!$E10:$L10,"BC")+COUNTIF('Mức độ xác minh dữ kiện'!$E10:$L10,"LS")</f>
        <v>0</v>
      </c>
      <c r="H10" s="8" t="s">
        <v>177</v>
      </c>
      <c r="I10" s="8" t="s">
        <v>209</v>
      </c>
    </row>
    <row r="11" spans="1:9" ht="43.5">
      <c r="A11" s="47" t="s">
        <v>100</v>
      </c>
      <c r="B11" s="8">
        <f>COUNTIF('Mức độ xác minh dữ kiện'!$E11:$L11,"NB+ĐL")+COUNTIF('Mức độ xác minh dữ kiện'!$E11:$L11,"NB")+COUNTIF('Mức độ xác minh dữ kiện'!$E11:$L11,"ĐL")+COUNTIF('Mức độ xác minh dữ kiện'!$E11:$L11,"ĐT")</f>
        <v>8</v>
      </c>
      <c r="C11" s="8">
        <f>COUNTIF('Mức độ xác minh dữ kiện'!$E11:$L11,"NB+ĐL")+COUNTIF('Mức độ xác minh dữ kiện'!$E11:$L11,"ĐL")</f>
        <v>5</v>
      </c>
      <c r="D11" s="8">
        <f>COUNTIF('Mức độ xác minh dữ kiện'!$E11:$L11,"NB+ĐL")+COUNTIF('Mức độ xác minh dữ kiện'!$E11:$L11,"NB")</f>
        <v>0</v>
      </c>
      <c r="E11" s="8">
        <f>COUNTIF('Mức độ xác minh dữ kiện'!$E11:$L11,"ĐT")</f>
        <v>3</v>
      </c>
      <c r="F11" s="8">
        <f>COUNTIF('Mức độ xác minh dữ kiện'!$E11:$L11,"TT")</f>
        <v>0</v>
      </c>
      <c r="G11" s="8">
        <f>COUNTIF('Mức độ xác minh dữ kiện'!$E11:$L11,"BC")+COUNTIF('Mức độ xác minh dữ kiện'!$E11:$L11,"LS")</f>
        <v>0</v>
      </c>
      <c r="H11" s="8" t="s">
        <v>178</v>
      </c>
      <c r="I11" s="8" t="s">
        <v>210</v>
      </c>
    </row>
    <row r="12" spans="1:9" ht="43.5">
      <c r="A12" s="47" t="s">
        <v>111</v>
      </c>
      <c r="B12" s="8">
        <f>COUNTIF('Mức độ xác minh dữ kiện'!$E12:$L12,"NB+ĐL")+COUNTIF('Mức độ xác minh dữ kiện'!$E12:$L12,"NB")+COUNTIF('Mức độ xác minh dữ kiện'!$E12:$L12,"ĐL")+COUNTIF('Mức độ xác minh dữ kiện'!$E12:$L12,"ĐT")</f>
        <v>4</v>
      </c>
      <c r="C12" s="8">
        <f>COUNTIF('Mức độ xác minh dữ kiện'!$E12:$L12,"NB+ĐL")+COUNTIF('Mức độ xác minh dữ kiện'!$E12:$L12,"ĐL")</f>
        <v>0</v>
      </c>
      <c r="D12" s="8">
        <f>COUNTIF('Mức độ xác minh dữ kiện'!$E12:$L12,"NB+ĐL")+COUNTIF('Mức độ xác minh dữ kiện'!$E12:$L12,"NB")</f>
        <v>2</v>
      </c>
      <c r="E12" s="8">
        <f>COUNTIF('Mức độ xác minh dữ kiện'!$E12:$L12,"ĐT")</f>
        <v>2</v>
      </c>
      <c r="F12" s="8">
        <f>COUNTIF('Mức độ xác minh dữ kiện'!$E12:$L12,"TT")</f>
        <v>3</v>
      </c>
      <c r="G12" s="8">
        <f>COUNTIF('Mức độ xác minh dữ kiện'!$E12:$L12,"BC")+COUNTIF('Mức độ xác minh dữ kiện'!$E12:$L12,"LS")</f>
        <v>1</v>
      </c>
      <c r="H12" s="8" t="s">
        <v>211</v>
      </c>
      <c r="I12" s="8" t="s">
        <v>212</v>
      </c>
    </row>
  </sheetData>
  <mergeCells count="1">
    <mergeCell ref="A1:I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workbookViewId="0">
      <selection sqref="A1:D1"/>
    </sheetView>
  </sheetViews>
  <sheetFormatPr defaultRowHeight="14.25"/>
  <cols>
    <col min="1" max="1" width="39.25" customWidth="1"/>
    <col min="2" max="2" width="46" customWidth="1"/>
    <col min="3" max="3" width="38.25" customWidth="1"/>
    <col min="4" max="4" width="34.125" customWidth="1"/>
  </cols>
  <sheetData>
    <row r="1" spans="1:14" ht="35.25" customHeight="1">
      <c r="A1" s="76" t="s">
        <v>193</v>
      </c>
      <c r="B1" s="76"/>
      <c r="C1" s="76"/>
      <c r="D1" s="76"/>
      <c r="E1" s="65"/>
      <c r="F1" s="65"/>
      <c r="G1" s="65"/>
      <c r="H1" s="65"/>
      <c r="I1" s="65"/>
      <c r="J1" s="62"/>
      <c r="K1" s="62"/>
      <c r="L1" s="62"/>
      <c r="M1" s="62"/>
      <c r="N1" s="62"/>
    </row>
    <row r="2" spans="1:14" s="18" customFormat="1" ht="36" customHeight="1">
      <c r="A2" s="63" t="s">
        <v>213</v>
      </c>
      <c r="B2" s="63" t="s">
        <v>214</v>
      </c>
      <c r="C2" s="63" t="s">
        <v>215</v>
      </c>
      <c r="D2" s="63" t="s">
        <v>216</v>
      </c>
    </row>
    <row r="3" spans="1:14" ht="72.75" customHeight="1">
      <c r="A3" s="48" t="s">
        <v>217</v>
      </c>
      <c r="B3" s="43" t="s">
        <v>218</v>
      </c>
      <c r="C3" s="43" t="s">
        <v>219</v>
      </c>
      <c r="D3" s="43" t="s">
        <v>220</v>
      </c>
    </row>
    <row r="4" spans="1:14" ht="60">
      <c r="A4" s="48" t="s">
        <v>221</v>
      </c>
      <c r="B4" s="43" t="s">
        <v>222</v>
      </c>
      <c r="C4" s="43" t="s">
        <v>223</v>
      </c>
      <c r="D4" s="43" t="s">
        <v>224</v>
      </c>
    </row>
    <row r="5" spans="1:14" ht="57">
      <c r="A5" s="49" t="s">
        <v>225</v>
      </c>
      <c r="B5" s="17" t="s">
        <v>226</v>
      </c>
      <c r="C5" s="17" t="s">
        <v>227</v>
      </c>
      <c r="D5" s="17" t="s">
        <v>228</v>
      </c>
    </row>
    <row r="6" spans="1:14" ht="42.75">
      <c r="A6" s="48" t="s">
        <v>229</v>
      </c>
      <c r="B6" s="43" t="s">
        <v>230</v>
      </c>
      <c r="C6" s="43" t="s">
        <v>231</v>
      </c>
      <c r="D6" s="43" t="s">
        <v>232</v>
      </c>
    </row>
    <row r="7" spans="1:14" ht="57">
      <c r="A7" s="48" t="s">
        <v>233</v>
      </c>
      <c r="B7" s="43" t="s">
        <v>234</v>
      </c>
      <c r="C7" s="43" t="s">
        <v>235</v>
      </c>
      <c r="D7" s="43" t="s">
        <v>236</v>
      </c>
    </row>
    <row r="8" spans="1:14" ht="57">
      <c r="A8" s="49" t="s">
        <v>237</v>
      </c>
      <c r="B8" s="17" t="s">
        <v>238</v>
      </c>
      <c r="C8" s="17" t="s">
        <v>239</v>
      </c>
      <c r="D8" s="17" t="s">
        <v>240</v>
      </c>
    </row>
    <row r="9" spans="1:14" ht="71.25">
      <c r="A9" s="49" t="s">
        <v>241</v>
      </c>
      <c r="B9" s="17" t="s">
        <v>242</v>
      </c>
      <c r="C9" s="17" t="s">
        <v>243</v>
      </c>
      <c r="D9" s="17" t="s">
        <v>244</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48554"/>
  <sheetViews>
    <sheetView workbookViewId="0"/>
  </sheetViews>
  <sheetFormatPr defaultColWidth="12.625" defaultRowHeight="15"/>
  <cols>
    <col min="1" max="1" width="29" style="51" customWidth="1"/>
    <col min="2" max="2" width="17" customWidth="1"/>
    <col min="3" max="3" width="25" customWidth="1"/>
    <col min="4" max="4" width="34" customWidth="1"/>
    <col min="5" max="5" width="52" customWidth="1"/>
    <col min="6" max="6" width="13" customWidth="1"/>
    <col min="7" max="7" width="15" hidden="1" customWidth="1"/>
    <col min="8" max="8" width="23.375" hidden="1" customWidth="1"/>
    <col min="9" max="9" width="32" customWidth="1"/>
    <col min="10" max="10" width="24" customWidth="1"/>
    <col min="11" max="11" width="22" customWidth="1"/>
    <col min="12" max="12" width="48" customWidth="1"/>
    <col min="13" max="13" width="31" hidden="1" customWidth="1"/>
    <col min="14" max="14" width="33" hidden="1" customWidth="1"/>
    <col min="15" max="15" width="24" customWidth="1"/>
    <col min="16" max="16" width="28" customWidth="1"/>
    <col min="17" max="17" width="42.625" customWidth="1"/>
    <col min="18" max="23" width="8.625" customWidth="1"/>
  </cols>
  <sheetData>
    <row r="1" spans="1:17" ht="31.5" customHeight="1">
      <c r="A1" s="52" t="s">
        <v>245</v>
      </c>
      <c r="B1" s="53" t="s">
        <v>246</v>
      </c>
      <c r="C1" s="53" t="s">
        <v>247</v>
      </c>
      <c r="D1" s="53" t="s">
        <v>248</v>
      </c>
      <c r="E1" s="54" t="s">
        <v>249</v>
      </c>
      <c r="F1" s="53" t="s">
        <v>250</v>
      </c>
      <c r="G1" s="53" t="s">
        <v>251</v>
      </c>
      <c r="H1" s="53" t="s">
        <v>252</v>
      </c>
      <c r="I1" s="53" t="s">
        <v>253</v>
      </c>
      <c r="J1" s="53" t="s">
        <v>254</v>
      </c>
      <c r="K1" s="53" t="s">
        <v>255</v>
      </c>
      <c r="L1" s="53" t="s">
        <v>256</v>
      </c>
      <c r="M1" s="53" t="s">
        <v>257</v>
      </c>
      <c r="N1" s="53" t="s">
        <v>258</v>
      </c>
      <c r="O1" s="53" t="s">
        <v>259</v>
      </c>
      <c r="P1" s="53" t="s">
        <v>260</v>
      </c>
      <c r="Q1" s="55" t="s">
        <v>261</v>
      </c>
    </row>
    <row r="2" spans="1:17" ht="67.5" customHeight="1">
      <c r="A2" s="50" t="s">
        <v>12</v>
      </c>
      <c r="B2" s="1" t="s">
        <v>262</v>
      </c>
      <c r="C2" s="1" t="s">
        <v>263</v>
      </c>
      <c r="D2" s="1" t="s">
        <v>264</v>
      </c>
      <c r="E2" s="1" t="s">
        <v>265</v>
      </c>
      <c r="F2" s="2" t="s">
        <v>266</v>
      </c>
      <c r="G2" s="7">
        <v>739782</v>
      </c>
      <c r="H2" s="1" t="s">
        <v>267</v>
      </c>
      <c r="I2" s="1" t="s">
        <v>268</v>
      </c>
      <c r="J2" s="1" t="s">
        <v>269</v>
      </c>
      <c r="K2" s="1" t="s">
        <v>270</v>
      </c>
      <c r="L2" s="3" t="s">
        <v>271</v>
      </c>
      <c r="M2" s="1" t="s">
        <v>272</v>
      </c>
      <c r="N2" s="1" t="s">
        <v>273</v>
      </c>
      <c r="O2" s="1" t="s">
        <v>274</v>
      </c>
      <c r="P2" s="1" t="s">
        <v>275</v>
      </c>
      <c r="Q2" s="4" t="s">
        <v>276</v>
      </c>
    </row>
    <row r="3" spans="1:17" ht="67.5" customHeight="1">
      <c r="A3" s="50" t="s">
        <v>12</v>
      </c>
      <c r="B3" s="1" t="s">
        <v>277</v>
      </c>
      <c r="C3" s="1" t="s">
        <v>263</v>
      </c>
      <c r="D3" s="1" t="s">
        <v>278</v>
      </c>
      <c r="E3" s="1" t="s">
        <v>279</v>
      </c>
      <c r="F3" s="2" t="s">
        <v>280</v>
      </c>
      <c r="G3" s="7"/>
      <c r="H3" s="1"/>
      <c r="I3" s="1" t="s">
        <v>281</v>
      </c>
      <c r="J3" s="1" t="s">
        <v>269</v>
      </c>
      <c r="K3" s="1" t="s">
        <v>280</v>
      </c>
      <c r="L3" s="3" t="s">
        <v>282</v>
      </c>
      <c r="M3" s="1" t="s">
        <v>283</v>
      </c>
      <c r="N3" s="1" t="s">
        <v>273</v>
      </c>
      <c r="O3" s="1" t="s">
        <v>274</v>
      </c>
      <c r="P3" s="1" t="s">
        <v>284</v>
      </c>
      <c r="Q3" s="4" t="s">
        <v>285</v>
      </c>
    </row>
    <row r="4" spans="1:17" ht="67.5" customHeight="1">
      <c r="A4" s="50" t="s">
        <v>12</v>
      </c>
      <c r="B4" s="1" t="s">
        <v>277</v>
      </c>
      <c r="C4" s="1" t="s">
        <v>263</v>
      </c>
      <c r="D4" s="1" t="s">
        <v>286</v>
      </c>
      <c r="E4" s="1" t="s">
        <v>287</v>
      </c>
      <c r="F4" s="2" t="s">
        <v>280</v>
      </c>
      <c r="G4" s="7"/>
      <c r="H4" s="1"/>
      <c r="I4" s="1" t="s">
        <v>281</v>
      </c>
      <c r="J4" s="1" t="s">
        <v>269</v>
      </c>
      <c r="K4" s="1" t="s">
        <v>280</v>
      </c>
      <c r="L4" s="3" t="s">
        <v>288</v>
      </c>
      <c r="M4" s="1" t="s">
        <v>283</v>
      </c>
      <c r="N4" s="1" t="s">
        <v>289</v>
      </c>
      <c r="O4" s="1" t="s">
        <v>290</v>
      </c>
      <c r="P4" s="1" t="s">
        <v>284</v>
      </c>
      <c r="Q4" s="4" t="s">
        <v>291</v>
      </c>
    </row>
    <row r="5" spans="1:17" ht="67.5" customHeight="1">
      <c r="A5" s="50" t="s">
        <v>12</v>
      </c>
      <c r="B5" s="1" t="s">
        <v>292</v>
      </c>
      <c r="C5" s="1" t="s">
        <v>293</v>
      </c>
      <c r="D5" s="1" t="s">
        <v>294</v>
      </c>
      <c r="E5" s="1" t="s">
        <v>295</v>
      </c>
      <c r="F5" s="2" t="s">
        <v>296</v>
      </c>
      <c r="G5" s="7"/>
      <c r="H5" s="1"/>
      <c r="I5" s="1" t="s">
        <v>297</v>
      </c>
      <c r="J5" s="1" t="s">
        <v>269</v>
      </c>
      <c r="K5" s="1" t="s">
        <v>298</v>
      </c>
      <c r="L5" s="3" t="s">
        <v>299</v>
      </c>
      <c r="M5" s="1" t="s">
        <v>300</v>
      </c>
      <c r="N5" s="1" t="s">
        <v>273</v>
      </c>
      <c r="O5" s="1" t="s">
        <v>274</v>
      </c>
      <c r="P5" s="1" t="s">
        <v>275</v>
      </c>
      <c r="Q5" s="4" t="s">
        <v>285</v>
      </c>
    </row>
    <row r="6" spans="1:17" ht="67.5" customHeight="1">
      <c r="A6" s="50" t="s">
        <v>12</v>
      </c>
      <c r="B6" s="1" t="s">
        <v>277</v>
      </c>
      <c r="C6" s="1" t="s">
        <v>293</v>
      </c>
      <c r="D6" s="1" t="s">
        <v>301</v>
      </c>
      <c r="E6" s="1" t="s">
        <v>302</v>
      </c>
      <c r="F6" s="2" t="s">
        <v>280</v>
      </c>
      <c r="G6" s="7"/>
      <c r="H6" s="1"/>
      <c r="I6" s="1" t="s">
        <v>281</v>
      </c>
      <c r="J6" s="1" t="s">
        <v>269</v>
      </c>
      <c r="K6" s="1" t="s">
        <v>280</v>
      </c>
      <c r="L6" s="3" t="s">
        <v>303</v>
      </c>
      <c r="M6" s="1" t="s">
        <v>283</v>
      </c>
      <c r="N6" s="1" t="s">
        <v>273</v>
      </c>
      <c r="O6" s="1" t="s">
        <v>274</v>
      </c>
      <c r="P6" s="1" t="s">
        <v>284</v>
      </c>
      <c r="Q6" s="4" t="s">
        <v>285</v>
      </c>
    </row>
    <row r="7" spans="1:17" ht="67.5" customHeight="1">
      <c r="A7" s="50" t="s">
        <v>12</v>
      </c>
      <c r="B7" s="1" t="s">
        <v>262</v>
      </c>
      <c r="C7" s="1" t="s">
        <v>304</v>
      </c>
      <c r="D7" s="1" t="s">
        <v>305</v>
      </c>
      <c r="E7" s="1" t="s">
        <v>306</v>
      </c>
      <c r="F7" s="2" t="s">
        <v>266</v>
      </c>
      <c r="G7" s="7">
        <v>156288</v>
      </c>
      <c r="H7" s="1" t="s">
        <v>307</v>
      </c>
      <c r="I7" s="1" t="s">
        <v>268</v>
      </c>
      <c r="J7" s="1" t="s">
        <v>308</v>
      </c>
      <c r="K7" s="1" t="s">
        <v>270</v>
      </c>
      <c r="L7" s="3" t="s">
        <v>309</v>
      </c>
      <c r="M7" s="1" t="s">
        <v>310</v>
      </c>
      <c r="N7" s="1" t="s">
        <v>311</v>
      </c>
      <c r="O7" s="1" t="s">
        <v>312</v>
      </c>
      <c r="P7" s="1" t="s">
        <v>275</v>
      </c>
      <c r="Q7" s="4" t="s">
        <v>285</v>
      </c>
    </row>
    <row r="8" spans="1:17" ht="67.5" customHeight="1">
      <c r="A8" s="50" t="s">
        <v>12</v>
      </c>
      <c r="B8" s="1" t="s">
        <v>262</v>
      </c>
      <c r="C8" s="1" t="s">
        <v>304</v>
      </c>
      <c r="D8" s="1" t="s">
        <v>313</v>
      </c>
      <c r="E8" s="1" t="s">
        <v>314</v>
      </c>
      <c r="F8" s="2" t="s">
        <v>296</v>
      </c>
      <c r="G8" s="7">
        <v>1961</v>
      </c>
      <c r="H8" s="1" t="s">
        <v>315</v>
      </c>
      <c r="I8" s="1" t="s">
        <v>268</v>
      </c>
      <c r="J8" s="1" t="s">
        <v>316</v>
      </c>
      <c r="K8" s="1" t="s">
        <v>270</v>
      </c>
      <c r="L8" s="3" t="s">
        <v>317</v>
      </c>
      <c r="M8" s="1" t="s">
        <v>318</v>
      </c>
      <c r="N8" s="1" t="s">
        <v>319</v>
      </c>
      <c r="O8" s="1" t="s">
        <v>320</v>
      </c>
      <c r="P8" s="1" t="s">
        <v>275</v>
      </c>
      <c r="Q8" s="4" t="s">
        <v>285</v>
      </c>
    </row>
    <row r="9" spans="1:17" ht="67.5" customHeight="1">
      <c r="A9" s="50" t="s">
        <v>12</v>
      </c>
      <c r="B9" s="1" t="s">
        <v>262</v>
      </c>
      <c r="C9" s="1" t="s">
        <v>304</v>
      </c>
      <c r="D9" s="1" t="s">
        <v>321</v>
      </c>
      <c r="E9" s="1" t="s">
        <v>322</v>
      </c>
      <c r="F9" s="2" t="s">
        <v>296</v>
      </c>
      <c r="G9" s="7">
        <v>4200</v>
      </c>
      <c r="H9" s="1" t="s">
        <v>323</v>
      </c>
      <c r="I9" s="1" t="s">
        <v>268</v>
      </c>
      <c r="J9" s="1" t="s">
        <v>269</v>
      </c>
      <c r="K9" s="1" t="s">
        <v>270</v>
      </c>
      <c r="L9" s="3" t="s">
        <v>324</v>
      </c>
      <c r="M9" s="1" t="s">
        <v>272</v>
      </c>
      <c r="N9" s="1" t="s">
        <v>325</v>
      </c>
      <c r="O9" s="1" t="s">
        <v>274</v>
      </c>
      <c r="P9" s="1" t="s">
        <v>275</v>
      </c>
      <c r="Q9" s="4" t="s">
        <v>285</v>
      </c>
    </row>
    <row r="10" spans="1:17" ht="67.5" customHeight="1">
      <c r="A10" s="50" t="s">
        <v>12</v>
      </c>
      <c r="B10" s="1" t="s">
        <v>277</v>
      </c>
      <c r="C10" s="1" t="s">
        <v>304</v>
      </c>
      <c r="D10" s="1" t="s">
        <v>326</v>
      </c>
      <c r="E10" s="1" t="s">
        <v>327</v>
      </c>
      <c r="F10" s="2" t="s">
        <v>280</v>
      </c>
      <c r="G10" s="7"/>
      <c r="H10" s="1"/>
      <c r="I10" s="1" t="s">
        <v>281</v>
      </c>
      <c r="J10" s="1" t="s">
        <v>269</v>
      </c>
      <c r="K10" s="1" t="s">
        <v>280</v>
      </c>
      <c r="L10" s="3" t="s">
        <v>328</v>
      </c>
      <c r="M10" s="1" t="s">
        <v>283</v>
      </c>
      <c r="N10" s="1" t="s">
        <v>329</v>
      </c>
      <c r="O10" s="1" t="s">
        <v>274</v>
      </c>
      <c r="P10" s="1" t="s">
        <v>284</v>
      </c>
      <c r="Q10" s="4" t="s">
        <v>285</v>
      </c>
    </row>
    <row r="11" spans="1:17" ht="67.5" customHeight="1">
      <c r="A11" s="50" t="s">
        <v>12</v>
      </c>
      <c r="B11" s="1" t="s">
        <v>262</v>
      </c>
      <c r="C11" s="1" t="s">
        <v>330</v>
      </c>
      <c r="D11" s="1" t="s">
        <v>331</v>
      </c>
      <c r="E11" s="1" t="s">
        <v>332</v>
      </c>
      <c r="F11" s="2" t="s">
        <v>266</v>
      </c>
      <c r="G11" s="7">
        <v>13849</v>
      </c>
      <c r="H11" s="1" t="s">
        <v>323</v>
      </c>
      <c r="I11" s="1" t="s">
        <v>268</v>
      </c>
      <c r="J11" s="1" t="s">
        <v>333</v>
      </c>
      <c r="K11" s="1" t="s">
        <v>270</v>
      </c>
      <c r="L11" s="3" t="s">
        <v>334</v>
      </c>
      <c r="M11" s="1" t="s">
        <v>335</v>
      </c>
      <c r="N11" s="1" t="s">
        <v>336</v>
      </c>
      <c r="O11" s="1" t="s">
        <v>312</v>
      </c>
      <c r="P11" s="1" t="s">
        <v>275</v>
      </c>
      <c r="Q11" s="4" t="s">
        <v>285</v>
      </c>
    </row>
    <row r="12" spans="1:17" ht="67.5" customHeight="1">
      <c r="A12" s="50" t="s">
        <v>12</v>
      </c>
      <c r="B12" s="1" t="s">
        <v>292</v>
      </c>
      <c r="C12" s="1" t="s">
        <v>330</v>
      </c>
      <c r="D12" s="1" t="s">
        <v>337</v>
      </c>
      <c r="E12" s="1" t="s">
        <v>338</v>
      </c>
      <c r="F12" s="2" t="s">
        <v>296</v>
      </c>
      <c r="G12" s="7"/>
      <c r="H12" s="1"/>
      <c r="I12" s="1" t="s">
        <v>297</v>
      </c>
      <c r="J12" s="1" t="s">
        <v>269</v>
      </c>
      <c r="K12" s="1" t="s">
        <v>298</v>
      </c>
      <c r="L12" s="3" t="s">
        <v>339</v>
      </c>
      <c r="M12" s="1" t="s">
        <v>283</v>
      </c>
      <c r="N12" s="1" t="s">
        <v>340</v>
      </c>
      <c r="O12" s="1" t="s">
        <v>274</v>
      </c>
      <c r="P12" s="1" t="s">
        <v>275</v>
      </c>
      <c r="Q12" s="4" t="s">
        <v>285</v>
      </c>
    </row>
    <row r="13" spans="1:17" ht="67.5" customHeight="1">
      <c r="A13" s="50" t="s">
        <v>12</v>
      </c>
      <c r="B13" s="1" t="s">
        <v>277</v>
      </c>
      <c r="C13" s="1" t="s">
        <v>330</v>
      </c>
      <c r="D13" s="1" t="s">
        <v>341</v>
      </c>
      <c r="E13" s="1" t="s">
        <v>342</v>
      </c>
      <c r="F13" s="2" t="s">
        <v>280</v>
      </c>
      <c r="G13" s="7"/>
      <c r="H13" s="1"/>
      <c r="I13" s="1" t="s">
        <v>281</v>
      </c>
      <c r="J13" s="1" t="s">
        <v>269</v>
      </c>
      <c r="K13" s="1" t="s">
        <v>280</v>
      </c>
      <c r="L13" s="3" t="s">
        <v>343</v>
      </c>
      <c r="M13" s="1" t="s">
        <v>283</v>
      </c>
      <c r="N13" s="1" t="s">
        <v>340</v>
      </c>
      <c r="O13" s="1" t="s">
        <v>274</v>
      </c>
      <c r="P13" s="1" t="s">
        <v>284</v>
      </c>
      <c r="Q13" s="4" t="s">
        <v>285</v>
      </c>
    </row>
    <row r="14" spans="1:17" ht="67.5" customHeight="1">
      <c r="A14" s="50" t="s">
        <v>12</v>
      </c>
      <c r="B14" s="1" t="s">
        <v>344</v>
      </c>
      <c r="C14" s="1" t="s">
        <v>345</v>
      </c>
      <c r="D14" s="1" t="s">
        <v>346</v>
      </c>
      <c r="E14" s="1" t="s">
        <v>347</v>
      </c>
      <c r="F14" s="2" t="s">
        <v>266</v>
      </c>
      <c r="G14" s="7">
        <v>211</v>
      </c>
      <c r="H14" s="1" t="s">
        <v>348</v>
      </c>
      <c r="I14" s="1" t="s">
        <v>268</v>
      </c>
      <c r="J14" s="1" t="s">
        <v>349</v>
      </c>
      <c r="K14" s="1" t="s">
        <v>350</v>
      </c>
      <c r="L14" s="3" t="s">
        <v>351</v>
      </c>
      <c r="M14" s="1" t="s">
        <v>352</v>
      </c>
      <c r="N14" s="1" t="s">
        <v>353</v>
      </c>
      <c r="O14" s="1" t="s">
        <v>354</v>
      </c>
      <c r="P14" s="1" t="s">
        <v>275</v>
      </c>
      <c r="Q14" s="4" t="s">
        <v>285</v>
      </c>
    </row>
    <row r="15" spans="1:17" ht="67.5" customHeight="1">
      <c r="A15" s="50" t="s">
        <v>12</v>
      </c>
      <c r="B15" s="1" t="s">
        <v>262</v>
      </c>
      <c r="C15" s="1" t="s">
        <v>345</v>
      </c>
      <c r="D15" s="1" t="s">
        <v>355</v>
      </c>
      <c r="E15" s="1" t="s">
        <v>356</v>
      </c>
      <c r="F15" s="2" t="s">
        <v>266</v>
      </c>
      <c r="G15" s="7">
        <v>200</v>
      </c>
      <c r="H15" s="1" t="s">
        <v>357</v>
      </c>
      <c r="I15" s="1" t="s">
        <v>268</v>
      </c>
      <c r="J15" s="1" t="s">
        <v>316</v>
      </c>
      <c r="K15" s="1" t="s">
        <v>270</v>
      </c>
      <c r="L15" s="3" t="s">
        <v>358</v>
      </c>
      <c r="M15" s="1" t="s">
        <v>359</v>
      </c>
      <c r="N15" s="1" t="s">
        <v>360</v>
      </c>
      <c r="O15" s="1" t="s">
        <v>354</v>
      </c>
      <c r="P15" s="1" t="s">
        <v>275</v>
      </c>
      <c r="Q15" s="4" t="s">
        <v>285</v>
      </c>
    </row>
    <row r="16" spans="1:17" ht="67.5" customHeight="1">
      <c r="A16" s="50" t="s">
        <v>12</v>
      </c>
      <c r="B16" s="1" t="s">
        <v>344</v>
      </c>
      <c r="C16" s="1" t="s">
        <v>345</v>
      </c>
      <c r="D16" s="1" t="s">
        <v>361</v>
      </c>
      <c r="E16" s="1" t="s">
        <v>362</v>
      </c>
      <c r="F16" s="2" t="s">
        <v>266</v>
      </c>
      <c r="G16" s="7">
        <v>211</v>
      </c>
      <c r="H16" s="1" t="s">
        <v>348</v>
      </c>
      <c r="I16" s="1" t="s">
        <v>363</v>
      </c>
      <c r="J16" s="1" t="s">
        <v>349</v>
      </c>
      <c r="K16" s="1" t="s">
        <v>350</v>
      </c>
      <c r="L16" s="3" t="s">
        <v>364</v>
      </c>
      <c r="M16" s="1" t="s">
        <v>283</v>
      </c>
      <c r="N16" s="1" t="s">
        <v>365</v>
      </c>
      <c r="O16" s="1" t="s">
        <v>366</v>
      </c>
      <c r="P16" s="1" t="s">
        <v>367</v>
      </c>
      <c r="Q16" s="4" t="s">
        <v>368</v>
      </c>
    </row>
    <row r="17" spans="1:17" ht="67.5" customHeight="1">
      <c r="A17" s="50" t="s">
        <v>12</v>
      </c>
      <c r="B17" s="1" t="s">
        <v>369</v>
      </c>
      <c r="C17" s="1" t="s">
        <v>345</v>
      </c>
      <c r="D17" s="1" t="s">
        <v>370</v>
      </c>
      <c r="E17" s="1" t="s">
        <v>371</v>
      </c>
      <c r="F17" s="2" t="s">
        <v>296</v>
      </c>
      <c r="G17" s="7">
        <v>300</v>
      </c>
      <c r="H17" s="1" t="s">
        <v>372</v>
      </c>
      <c r="I17" s="1" t="s">
        <v>363</v>
      </c>
      <c r="J17" s="1" t="s">
        <v>373</v>
      </c>
      <c r="K17" s="1" t="s">
        <v>270</v>
      </c>
      <c r="L17" s="3" t="s">
        <v>374</v>
      </c>
      <c r="M17" s="1" t="s">
        <v>283</v>
      </c>
      <c r="N17" s="1" t="s">
        <v>375</v>
      </c>
      <c r="O17" s="1" t="s">
        <v>366</v>
      </c>
      <c r="P17" s="1" t="s">
        <v>367</v>
      </c>
      <c r="Q17" s="4" t="s">
        <v>376</v>
      </c>
    </row>
    <row r="18" spans="1:17" ht="67.5" customHeight="1">
      <c r="A18" s="50" t="s">
        <v>12</v>
      </c>
      <c r="B18" s="1" t="s">
        <v>377</v>
      </c>
      <c r="C18" s="1" t="s">
        <v>345</v>
      </c>
      <c r="D18" s="1" t="s">
        <v>378</v>
      </c>
      <c r="E18" s="1" t="s">
        <v>379</v>
      </c>
      <c r="F18" s="2" t="s">
        <v>296</v>
      </c>
      <c r="G18" s="7">
        <v>150</v>
      </c>
      <c r="H18" s="1" t="s">
        <v>380</v>
      </c>
      <c r="I18" s="1" t="s">
        <v>268</v>
      </c>
      <c r="J18" s="1" t="s">
        <v>373</v>
      </c>
      <c r="K18" s="1" t="s">
        <v>270</v>
      </c>
      <c r="L18" s="3" t="s">
        <v>381</v>
      </c>
      <c r="M18" s="1" t="s">
        <v>283</v>
      </c>
      <c r="N18" s="1" t="s">
        <v>375</v>
      </c>
      <c r="O18" s="1" t="s">
        <v>366</v>
      </c>
      <c r="P18" s="1" t="s">
        <v>275</v>
      </c>
      <c r="Q18" s="4" t="s">
        <v>285</v>
      </c>
    </row>
    <row r="19" spans="1:17" ht="67.5" customHeight="1">
      <c r="A19" s="50" t="s">
        <v>12</v>
      </c>
      <c r="B19" s="1" t="s">
        <v>262</v>
      </c>
      <c r="C19" s="1" t="s">
        <v>345</v>
      </c>
      <c r="D19" s="1" t="s">
        <v>382</v>
      </c>
      <c r="E19" s="1" t="s">
        <v>383</v>
      </c>
      <c r="F19" s="2" t="s">
        <v>296</v>
      </c>
      <c r="G19" s="7">
        <v>14700</v>
      </c>
      <c r="H19" s="1" t="s">
        <v>384</v>
      </c>
      <c r="I19" s="1" t="s">
        <v>268</v>
      </c>
      <c r="J19" s="1" t="s">
        <v>385</v>
      </c>
      <c r="K19" s="1" t="s">
        <v>270</v>
      </c>
      <c r="L19" s="3" t="s">
        <v>386</v>
      </c>
      <c r="M19" s="1" t="s">
        <v>387</v>
      </c>
      <c r="N19" s="1" t="s">
        <v>388</v>
      </c>
      <c r="O19" s="1" t="s">
        <v>312</v>
      </c>
      <c r="P19" s="1" t="s">
        <v>275</v>
      </c>
      <c r="Q19" s="4" t="s">
        <v>285</v>
      </c>
    </row>
    <row r="20" spans="1:17" ht="67.5" customHeight="1">
      <c r="A20" s="50" t="s">
        <v>12</v>
      </c>
      <c r="B20" s="1" t="s">
        <v>262</v>
      </c>
      <c r="C20" s="1" t="s">
        <v>345</v>
      </c>
      <c r="D20" s="1" t="s">
        <v>389</v>
      </c>
      <c r="E20" s="1" t="s">
        <v>390</v>
      </c>
      <c r="F20" s="2" t="s">
        <v>296</v>
      </c>
      <c r="G20" s="7">
        <v>1</v>
      </c>
      <c r="H20" s="1" t="s">
        <v>391</v>
      </c>
      <c r="I20" s="1" t="s">
        <v>268</v>
      </c>
      <c r="J20" s="1" t="s">
        <v>373</v>
      </c>
      <c r="K20" s="1" t="s">
        <v>350</v>
      </c>
      <c r="L20" s="3" t="s">
        <v>392</v>
      </c>
      <c r="M20" s="1" t="s">
        <v>393</v>
      </c>
      <c r="N20" s="1" t="s">
        <v>394</v>
      </c>
      <c r="O20" s="1" t="s">
        <v>366</v>
      </c>
      <c r="P20" s="1" t="s">
        <v>275</v>
      </c>
      <c r="Q20" s="4" t="s">
        <v>285</v>
      </c>
    </row>
    <row r="21" spans="1:17" ht="67.5" customHeight="1">
      <c r="A21" s="50" t="s">
        <v>12</v>
      </c>
      <c r="B21" s="1" t="s">
        <v>344</v>
      </c>
      <c r="C21" s="1" t="s">
        <v>345</v>
      </c>
      <c r="D21" s="1" t="s">
        <v>395</v>
      </c>
      <c r="E21" s="1" t="s">
        <v>396</v>
      </c>
      <c r="F21" s="2" t="s">
        <v>397</v>
      </c>
      <c r="G21" s="7"/>
      <c r="H21" s="1"/>
      <c r="I21" s="1" t="s">
        <v>363</v>
      </c>
      <c r="J21" s="1" t="s">
        <v>373</v>
      </c>
      <c r="K21" s="1" t="s">
        <v>270</v>
      </c>
      <c r="L21" s="3" t="s">
        <v>398</v>
      </c>
      <c r="M21" s="1" t="s">
        <v>393</v>
      </c>
      <c r="N21" s="1" t="s">
        <v>399</v>
      </c>
      <c r="O21" s="1" t="s">
        <v>366</v>
      </c>
      <c r="P21" s="1" t="s">
        <v>367</v>
      </c>
      <c r="Q21" s="4" t="s">
        <v>376</v>
      </c>
    </row>
    <row r="22" spans="1:17" ht="67.5" customHeight="1">
      <c r="A22" s="50" t="s">
        <v>12</v>
      </c>
      <c r="B22" s="1" t="s">
        <v>262</v>
      </c>
      <c r="C22" s="1" t="s">
        <v>400</v>
      </c>
      <c r="D22" s="1" t="s">
        <v>401</v>
      </c>
      <c r="E22" s="1" t="s">
        <v>402</v>
      </c>
      <c r="F22" s="2" t="s">
        <v>266</v>
      </c>
      <c r="G22" s="7">
        <v>1000</v>
      </c>
      <c r="H22" s="1" t="s">
        <v>403</v>
      </c>
      <c r="I22" s="1" t="s">
        <v>268</v>
      </c>
      <c r="J22" s="1" t="s">
        <v>404</v>
      </c>
      <c r="K22" s="1" t="s">
        <v>270</v>
      </c>
      <c r="L22" s="3" t="s">
        <v>405</v>
      </c>
      <c r="M22" s="1" t="s">
        <v>406</v>
      </c>
      <c r="N22" s="1" t="s">
        <v>407</v>
      </c>
      <c r="O22" s="1" t="s">
        <v>320</v>
      </c>
      <c r="P22" s="1" t="s">
        <v>275</v>
      </c>
      <c r="Q22" s="4" t="s">
        <v>285</v>
      </c>
    </row>
    <row r="23" spans="1:17" ht="67.5" customHeight="1">
      <c r="A23" s="50" t="s">
        <v>12</v>
      </c>
      <c r="B23" s="1" t="s">
        <v>408</v>
      </c>
      <c r="C23" s="1" t="s">
        <v>400</v>
      </c>
      <c r="D23" s="1" t="s">
        <v>409</v>
      </c>
      <c r="E23" s="1" t="s">
        <v>410</v>
      </c>
      <c r="F23" s="2" t="s">
        <v>266</v>
      </c>
      <c r="G23" s="7">
        <v>62</v>
      </c>
      <c r="H23" s="1" t="s">
        <v>411</v>
      </c>
      <c r="I23" s="1" t="s">
        <v>363</v>
      </c>
      <c r="J23" s="1" t="s">
        <v>412</v>
      </c>
      <c r="K23" s="1" t="s">
        <v>270</v>
      </c>
      <c r="L23" s="3" t="s">
        <v>413</v>
      </c>
      <c r="M23" s="1" t="s">
        <v>387</v>
      </c>
      <c r="N23" s="1" t="s">
        <v>414</v>
      </c>
      <c r="O23" s="1" t="s">
        <v>312</v>
      </c>
      <c r="P23" s="1" t="s">
        <v>367</v>
      </c>
      <c r="Q23" s="4" t="s">
        <v>415</v>
      </c>
    </row>
    <row r="24" spans="1:17" ht="67.5" customHeight="1">
      <c r="A24" s="50" t="s">
        <v>12</v>
      </c>
      <c r="B24" s="1" t="s">
        <v>262</v>
      </c>
      <c r="C24" s="1" t="s">
        <v>400</v>
      </c>
      <c r="D24" s="1" t="s">
        <v>416</v>
      </c>
      <c r="E24" s="1" t="s">
        <v>417</v>
      </c>
      <c r="F24" s="2" t="s">
        <v>266</v>
      </c>
      <c r="G24" s="7">
        <v>200</v>
      </c>
      <c r="H24" s="1" t="s">
        <v>418</v>
      </c>
      <c r="I24" s="1" t="s">
        <v>268</v>
      </c>
      <c r="J24" s="1" t="s">
        <v>404</v>
      </c>
      <c r="K24" s="1" t="s">
        <v>270</v>
      </c>
      <c r="L24" s="3" t="s">
        <v>419</v>
      </c>
      <c r="M24" s="1" t="s">
        <v>406</v>
      </c>
      <c r="N24" s="1" t="s">
        <v>420</v>
      </c>
      <c r="O24" s="1" t="s">
        <v>320</v>
      </c>
      <c r="P24" s="1" t="s">
        <v>275</v>
      </c>
      <c r="Q24" s="4" t="s">
        <v>285</v>
      </c>
    </row>
    <row r="25" spans="1:17" ht="67.5" customHeight="1">
      <c r="A25" s="50" t="s">
        <v>12</v>
      </c>
      <c r="B25" s="1" t="s">
        <v>262</v>
      </c>
      <c r="C25" s="1" t="s">
        <v>400</v>
      </c>
      <c r="D25" s="1" t="s">
        <v>421</v>
      </c>
      <c r="E25" s="1" t="s">
        <v>422</v>
      </c>
      <c r="F25" s="2" t="s">
        <v>296</v>
      </c>
      <c r="G25" s="7">
        <v>457</v>
      </c>
      <c r="H25" s="1" t="s">
        <v>423</v>
      </c>
      <c r="I25" s="1" t="s">
        <v>268</v>
      </c>
      <c r="J25" s="1" t="s">
        <v>404</v>
      </c>
      <c r="K25" s="1" t="s">
        <v>270</v>
      </c>
      <c r="L25" s="3" t="s">
        <v>424</v>
      </c>
      <c r="M25" s="1" t="s">
        <v>406</v>
      </c>
      <c r="N25" s="1" t="s">
        <v>425</v>
      </c>
      <c r="O25" s="1" t="s">
        <v>320</v>
      </c>
      <c r="P25" s="1" t="s">
        <v>275</v>
      </c>
      <c r="Q25" s="4" t="s">
        <v>285</v>
      </c>
    </row>
    <row r="26" spans="1:17" ht="67.5" customHeight="1">
      <c r="A26" s="50" t="s">
        <v>12</v>
      </c>
      <c r="B26" s="1" t="s">
        <v>426</v>
      </c>
      <c r="C26" s="1" t="s">
        <v>400</v>
      </c>
      <c r="D26" s="1" t="s">
        <v>427</v>
      </c>
      <c r="E26" s="1" t="s">
        <v>428</v>
      </c>
      <c r="F26" s="2" t="s">
        <v>296</v>
      </c>
      <c r="G26" s="7">
        <v>1330</v>
      </c>
      <c r="H26" s="1" t="s">
        <v>429</v>
      </c>
      <c r="I26" s="1" t="s">
        <v>268</v>
      </c>
      <c r="J26" s="1" t="s">
        <v>404</v>
      </c>
      <c r="K26" s="1" t="s">
        <v>270</v>
      </c>
      <c r="L26" s="3" t="s">
        <v>430</v>
      </c>
      <c r="M26" s="1" t="s">
        <v>431</v>
      </c>
      <c r="N26" s="1" t="s">
        <v>432</v>
      </c>
      <c r="O26" s="1" t="s">
        <v>320</v>
      </c>
      <c r="P26" s="1" t="s">
        <v>275</v>
      </c>
      <c r="Q26" s="4" t="s">
        <v>433</v>
      </c>
    </row>
    <row r="27" spans="1:17" ht="67.5" customHeight="1">
      <c r="A27" s="50" t="s">
        <v>12</v>
      </c>
      <c r="B27" s="1" t="s">
        <v>408</v>
      </c>
      <c r="C27" s="1" t="s">
        <v>400</v>
      </c>
      <c r="D27" s="1" t="s">
        <v>434</v>
      </c>
      <c r="E27" s="1" t="s">
        <v>435</v>
      </c>
      <c r="F27" s="2" t="s">
        <v>296</v>
      </c>
      <c r="G27" s="7">
        <v>26</v>
      </c>
      <c r="H27" s="1" t="s">
        <v>418</v>
      </c>
      <c r="I27" s="1" t="s">
        <v>363</v>
      </c>
      <c r="J27" s="1" t="s">
        <v>316</v>
      </c>
      <c r="K27" s="1" t="s">
        <v>270</v>
      </c>
      <c r="L27" s="3" t="s">
        <v>436</v>
      </c>
      <c r="M27" s="1" t="s">
        <v>437</v>
      </c>
      <c r="N27" s="1" t="s">
        <v>438</v>
      </c>
      <c r="O27" s="1" t="s">
        <v>320</v>
      </c>
      <c r="P27" s="1" t="s">
        <v>367</v>
      </c>
      <c r="Q27" s="4" t="s">
        <v>415</v>
      </c>
    </row>
    <row r="28" spans="1:17" ht="67.5" customHeight="1">
      <c r="A28" s="50" t="s">
        <v>12</v>
      </c>
      <c r="B28" s="1" t="s">
        <v>277</v>
      </c>
      <c r="C28" s="1" t="s">
        <v>400</v>
      </c>
      <c r="D28" s="1" t="s">
        <v>439</v>
      </c>
      <c r="E28" s="1" t="s">
        <v>440</v>
      </c>
      <c r="F28" s="2" t="s">
        <v>280</v>
      </c>
      <c r="G28" s="7"/>
      <c r="H28" s="1"/>
      <c r="I28" s="1" t="s">
        <v>281</v>
      </c>
      <c r="J28" s="1" t="s">
        <v>269</v>
      </c>
      <c r="K28" s="1" t="s">
        <v>280</v>
      </c>
      <c r="L28" s="3" t="s">
        <v>441</v>
      </c>
      <c r="M28" s="1" t="s">
        <v>406</v>
      </c>
      <c r="N28" s="1" t="s">
        <v>442</v>
      </c>
      <c r="O28" s="1" t="s">
        <v>290</v>
      </c>
      <c r="P28" s="1" t="s">
        <v>284</v>
      </c>
      <c r="Q28" s="4" t="s">
        <v>285</v>
      </c>
    </row>
    <row r="29" spans="1:17" ht="67.5" customHeight="1">
      <c r="A29" s="50" t="s">
        <v>12</v>
      </c>
      <c r="B29" s="1" t="s">
        <v>292</v>
      </c>
      <c r="C29" s="1" t="s">
        <v>443</v>
      </c>
      <c r="D29" s="1" t="s">
        <v>444</v>
      </c>
      <c r="E29" s="1" t="s">
        <v>445</v>
      </c>
      <c r="F29" s="2" t="s">
        <v>296</v>
      </c>
      <c r="G29" s="7"/>
      <c r="H29" s="1"/>
      <c r="I29" s="1" t="s">
        <v>297</v>
      </c>
      <c r="J29" s="1" t="s">
        <v>349</v>
      </c>
      <c r="K29" s="1" t="s">
        <v>298</v>
      </c>
      <c r="L29" s="3" t="s">
        <v>446</v>
      </c>
      <c r="M29" s="1" t="s">
        <v>447</v>
      </c>
      <c r="N29" s="1" t="s">
        <v>448</v>
      </c>
      <c r="O29" s="1" t="s">
        <v>449</v>
      </c>
      <c r="P29" s="1" t="s">
        <v>275</v>
      </c>
      <c r="Q29" s="4" t="s">
        <v>285</v>
      </c>
    </row>
    <row r="30" spans="1:17" ht="67.5" customHeight="1">
      <c r="A30" s="50" t="s">
        <v>12</v>
      </c>
      <c r="B30" s="1" t="s">
        <v>277</v>
      </c>
      <c r="C30" s="1" t="s">
        <v>443</v>
      </c>
      <c r="D30" s="1" t="s">
        <v>450</v>
      </c>
      <c r="E30" s="1" t="s">
        <v>451</v>
      </c>
      <c r="F30" s="2" t="s">
        <v>280</v>
      </c>
      <c r="G30" s="7"/>
      <c r="H30" s="1"/>
      <c r="I30" s="1" t="s">
        <v>281</v>
      </c>
      <c r="J30" s="1" t="s">
        <v>452</v>
      </c>
      <c r="K30" s="1" t="s">
        <v>280</v>
      </c>
      <c r="L30" s="3" t="s">
        <v>453</v>
      </c>
      <c r="M30" s="1" t="s">
        <v>300</v>
      </c>
      <c r="N30" s="1" t="s">
        <v>454</v>
      </c>
      <c r="O30" s="1" t="s">
        <v>449</v>
      </c>
      <c r="P30" s="1" t="s">
        <v>284</v>
      </c>
      <c r="Q30" s="4" t="s">
        <v>285</v>
      </c>
    </row>
    <row r="31" spans="1:17" ht="67.5" customHeight="1">
      <c r="A31" s="50" t="s">
        <v>12</v>
      </c>
      <c r="B31" s="1" t="s">
        <v>408</v>
      </c>
      <c r="C31" s="1" t="s">
        <v>455</v>
      </c>
      <c r="D31" s="1" t="s">
        <v>456</v>
      </c>
      <c r="E31" s="1" t="s">
        <v>457</v>
      </c>
      <c r="F31" s="2" t="s">
        <v>266</v>
      </c>
      <c r="G31" s="7">
        <v>117</v>
      </c>
      <c r="H31" s="1" t="s">
        <v>458</v>
      </c>
      <c r="I31" s="1" t="s">
        <v>363</v>
      </c>
      <c r="J31" s="1" t="s">
        <v>316</v>
      </c>
      <c r="K31" s="1" t="s">
        <v>270</v>
      </c>
      <c r="L31" s="3" t="s">
        <v>459</v>
      </c>
      <c r="M31" s="1" t="s">
        <v>460</v>
      </c>
      <c r="N31" s="1" t="s">
        <v>461</v>
      </c>
      <c r="O31" s="1" t="s">
        <v>449</v>
      </c>
      <c r="P31" s="1" t="s">
        <v>367</v>
      </c>
      <c r="Q31" s="4" t="s">
        <v>415</v>
      </c>
    </row>
    <row r="32" spans="1:17" ht="67.5" customHeight="1">
      <c r="A32" s="50" t="s">
        <v>12</v>
      </c>
      <c r="B32" s="1" t="s">
        <v>262</v>
      </c>
      <c r="C32" s="1" t="s">
        <v>455</v>
      </c>
      <c r="D32" s="1" t="s">
        <v>462</v>
      </c>
      <c r="E32" s="1" t="s">
        <v>463</v>
      </c>
      <c r="F32" s="2" t="s">
        <v>266</v>
      </c>
      <c r="G32" s="7">
        <v>457</v>
      </c>
      <c r="H32" s="1" t="s">
        <v>464</v>
      </c>
      <c r="I32" s="1" t="s">
        <v>363</v>
      </c>
      <c r="J32" s="1" t="s">
        <v>316</v>
      </c>
      <c r="K32" s="1" t="s">
        <v>270</v>
      </c>
      <c r="L32" s="3" t="s">
        <v>465</v>
      </c>
      <c r="M32" s="1" t="s">
        <v>466</v>
      </c>
      <c r="N32" s="1" t="s">
        <v>461</v>
      </c>
      <c r="O32" s="1" t="s">
        <v>449</v>
      </c>
      <c r="P32" s="1" t="s">
        <v>367</v>
      </c>
      <c r="Q32" s="4" t="s">
        <v>368</v>
      </c>
    </row>
    <row r="33" spans="1:17" ht="67.5" customHeight="1">
      <c r="A33" s="50" t="s">
        <v>12</v>
      </c>
      <c r="B33" s="1" t="s">
        <v>408</v>
      </c>
      <c r="C33" s="1" t="s">
        <v>455</v>
      </c>
      <c r="D33" s="1" t="s">
        <v>467</v>
      </c>
      <c r="E33" s="1" t="s">
        <v>468</v>
      </c>
      <c r="F33" s="2" t="s">
        <v>296</v>
      </c>
      <c r="G33" s="7">
        <v>97</v>
      </c>
      <c r="H33" s="1" t="s">
        <v>458</v>
      </c>
      <c r="I33" s="1" t="s">
        <v>363</v>
      </c>
      <c r="J33" s="1" t="s">
        <v>316</v>
      </c>
      <c r="K33" s="1" t="s">
        <v>270</v>
      </c>
      <c r="L33" s="3" t="s">
        <v>469</v>
      </c>
      <c r="M33" s="1" t="s">
        <v>460</v>
      </c>
      <c r="N33" s="1" t="s">
        <v>470</v>
      </c>
      <c r="O33" s="1" t="s">
        <v>449</v>
      </c>
      <c r="P33" s="1" t="s">
        <v>367</v>
      </c>
      <c r="Q33" s="4" t="s">
        <v>415</v>
      </c>
    </row>
    <row r="34" spans="1:17" ht="67.5" customHeight="1">
      <c r="A34" s="50" t="s">
        <v>23</v>
      </c>
      <c r="B34" s="1" t="s">
        <v>471</v>
      </c>
      <c r="C34" s="1" t="s">
        <v>263</v>
      </c>
      <c r="D34" s="1" t="s">
        <v>472</v>
      </c>
      <c r="E34" s="1" t="s">
        <v>473</v>
      </c>
      <c r="F34" s="2" t="s">
        <v>296</v>
      </c>
      <c r="G34" s="7"/>
      <c r="H34" s="1"/>
      <c r="I34" s="1" t="s">
        <v>297</v>
      </c>
      <c r="J34" s="1" t="s">
        <v>269</v>
      </c>
      <c r="K34" s="1" t="s">
        <v>298</v>
      </c>
      <c r="L34" s="3" t="s">
        <v>474</v>
      </c>
      <c r="M34" s="1" t="s">
        <v>272</v>
      </c>
      <c r="N34" s="1" t="s">
        <v>273</v>
      </c>
      <c r="O34" s="1" t="s">
        <v>274</v>
      </c>
      <c r="P34" s="1" t="s">
        <v>475</v>
      </c>
      <c r="Q34" s="4" t="s">
        <v>476</v>
      </c>
    </row>
    <row r="35" spans="1:17" ht="67.5" customHeight="1">
      <c r="A35" s="50" t="s">
        <v>23</v>
      </c>
      <c r="B35" s="1" t="s">
        <v>471</v>
      </c>
      <c r="C35" s="1" t="s">
        <v>293</v>
      </c>
      <c r="D35" s="1" t="s">
        <v>477</v>
      </c>
      <c r="E35" s="1" t="s">
        <v>478</v>
      </c>
      <c r="F35" s="2" t="s">
        <v>266</v>
      </c>
      <c r="G35" s="7"/>
      <c r="H35" s="1"/>
      <c r="I35" s="1" t="s">
        <v>297</v>
      </c>
      <c r="J35" s="1" t="s">
        <v>479</v>
      </c>
      <c r="K35" s="1" t="s">
        <v>298</v>
      </c>
      <c r="L35" s="3" t="s">
        <v>480</v>
      </c>
      <c r="M35" s="1" t="s">
        <v>481</v>
      </c>
      <c r="N35" s="1" t="s">
        <v>482</v>
      </c>
      <c r="O35" s="1" t="s">
        <v>312</v>
      </c>
      <c r="P35" s="1" t="s">
        <v>475</v>
      </c>
      <c r="Q35" s="4" t="s">
        <v>476</v>
      </c>
    </row>
    <row r="36" spans="1:17" ht="67.5" customHeight="1">
      <c r="A36" s="50" t="s">
        <v>23</v>
      </c>
      <c r="B36" s="1" t="s">
        <v>483</v>
      </c>
      <c r="C36" s="1" t="s">
        <v>293</v>
      </c>
      <c r="D36" s="1" t="s">
        <v>484</v>
      </c>
      <c r="E36" s="1" t="s">
        <v>485</v>
      </c>
      <c r="F36" s="2" t="s">
        <v>296</v>
      </c>
      <c r="G36" s="7"/>
      <c r="H36" s="1"/>
      <c r="I36" s="1" t="s">
        <v>486</v>
      </c>
      <c r="J36" s="1" t="s">
        <v>308</v>
      </c>
      <c r="K36" s="1" t="s">
        <v>298</v>
      </c>
      <c r="L36" s="3" t="s">
        <v>487</v>
      </c>
      <c r="M36" s="1" t="s">
        <v>272</v>
      </c>
      <c r="N36" s="1" t="s">
        <v>488</v>
      </c>
      <c r="O36" s="1" t="s">
        <v>274</v>
      </c>
      <c r="P36" s="1" t="s">
        <v>489</v>
      </c>
      <c r="Q36" s="4" t="s">
        <v>490</v>
      </c>
    </row>
    <row r="37" spans="1:17" ht="67.5" customHeight="1">
      <c r="A37" s="50" t="s">
        <v>23</v>
      </c>
      <c r="B37" s="1" t="s">
        <v>471</v>
      </c>
      <c r="C37" s="1" t="s">
        <v>304</v>
      </c>
      <c r="D37" s="1" t="s">
        <v>491</v>
      </c>
      <c r="E37" s="1" t="s">
        <v>492</v>
      </c>
      <c r="F37" s="2" t="s">
        <v>266</v>
      </c>
      <c r="G37" s="7"/>
      <c r="H37" s="1"/>
      <c r="I37" s="1" t="s">
        <v>297</v>
      </c>
      <c r="J37" s="1" t="s">
        <v>308</v>
      </c>
      <c r="K37" s="1" t="s">
        <v>298</v>
      </c>
      <c r="L37" s="3" t="s">
        <v>493</v>
      </c>
      <c r="M37" s="1" t="s">
        <v>481</v>
      </c>
      <c r="N37" s="1" t="s">
        <v>494</v>
      </c>
      <c r="O37" s="1" t="s">
        <v>312</v>
      </c>
      <c r="P37" s="1" t="s">
        <v>475</v>
      </c>
      <c r="Q37" s="4" t="s">
        <v>476</v>
      </c>
    </row>
    <row r="38" spans="1:17" ht="67.5" customHeight="1">
      <c r="A38" s="50" t="s">
        <v>23</v>
      </c>
      <c r="B38" s="1" t="s">
        <v>471</v>
      </c>
      <c r="C38" s="1" t="s">
        <v>330</v>
      </c>
      <c r="D38" s="1" t="s">
        <v>495</v>
      </c>
      <c r="E38" s="1" t="s">
        <v>496</v>
      </c>
      <c r="F38" s="2" t="s">
        <v>266</v>
      </c>
      <c r="G38" s="7"/>
      <c r="H38" s="1"/>
      <c r="I38" s="1" t="s">
        <v>297</v>
      </c>
      <c r="J38" s="1" t="s">
        <v>333</v>
      </c>
      <c r="K38" s="1" t="s">
        <v>298</v>
      </c>
      <c r="L38" s="3" t="s">
        <v>497</v>
      </c>
      <c r="M38" s="1" t="s">
        <v>498</v>
      </c>
      <c r="N38" s="1" t="s">
        <v>340</v>
      </c>
      <c r="O38" s="1" t="s">
        <v>312</v>
      </c>
      <c r="P38" s="1" t="s">
        <v>475</v>
      </c>
      <c r="Q38" s="4" t="s">
        <v>476</v>
      </c>
    </row>
    <row r="39" spans="1:17" ht="67.5" customHeight="1">
      <c r="A39" s="50" t="s">
        <v>23</v>
      </c>
      <c r="B39" s="1" t="s">
        <v>292</v>
      </c>
      <c r="C39" s="1" t="s">
        <v>345</v>
      </c>
      <c r="D39" s="1" t="s">
        <v>499</v>
      </c>
      <c r="E39" s="1" t="s">
        <v>500</v>
      </c>
      <c r="F39" s="2" t="s">
        <v>266</v>
      </c>
      <c r="G39" s="7">
        <v>5</v>
      </c>
      <c r="H39" s="1" t="s">
        <v>501</v>
      </c>
      <c r="I39" s="1" t="s">
        <v>268</v>
      </c>
      <c r="J39" s="1" t="s">
        <v>308</v>
      </c>
      <c r="K39" s="1" t="s">
        <v>270</v>
      </c>
      <c r="L39" s="3" t="s">
        <v>502</v>
      </c>
      <c r="M39" s="1" t="s">
        <v>335</v>
      </c>
      <c r="N39" s="1" t="s">
        <v>503</v>
      </c>
      <c r="O39" s="1" t="s">
        <v>312</v>
      </c>
      <c r="P39" s="1" t="s">
        <v>504</v>
      </c>
      <c r="Q39" s="4" t="s">
        <v>505</v>
      </c>
    </row>
    <row r="40" spans="1:17" ht="67.5" customHeight="1">
      <c r="A40" s="50" t="s">
        <v>23</v>
      </c>
      <c r="B40" s="1" t="s">
        <v>292</v>
      </c>
      <c r="C40" s="1" t="s">
        <v>345</v>
      </c>
      <c r="D40" s="1" t="s">
        <v>506</v>
      </c>
      <c r="E40" s="1" t="s">
        <v>507</v>
      </c>
      <c r="F40" s="2" t="s">
        <v>397</v>
      </c>
      <c r="G40" s="7">
        <v>1500</v>
      </c>
      <c r="H40" s="1" t="s">
        <v>508</v>
      </c>
      <c r="I40" s="1" t="s">
        <v>268</v>
      </c>
      <c r="J40" s="1" t="s">
        <v>509</v>
      </c>
      <c r="K40" s="1" t="s">
        <v>510</v>
      </c>
      <c r="L40" s="3" t="s">
        <v>511</v>
      </c>
      <c r="M40" s="1" t="s">
        <v>512</v>
      </c>
      <c r="N40" s="1" t="s">
        <v>513</v>
      </c>
      <c r="O40" s="1" t="s">
        <v>514</v>
      </c>
      <c r="P40" s="1" t="s">
        <v>515</v>
      </c>
      <c r="Q40" s="4" t="s">
        <v>516</v>
      </c>
    </row>
    <row r="41" spans="1:17" ht="67.5" customHeight="1">
      <c r="A41" s="50" t="s">
        <v>23</v>
      </c>
      <c r="B41" s="1" t="s">
        <v>471</v>
      </c>
      <c r="C41" s="1" t="s">
        <v>400</v>
      </c>
      <c r="D41" s="1" t="s">
        <v>517</v>
      </c>
      <c r="E41" s="1" t="s">
        <v>518</v>
      </c>
      <c r="F41" s="2" t="s">
        <v>266</v>
      </c>
      <c r="G41" s="7"/>
      <c r="H41" s="1"/>
      <c r="I41" s="1" t="s">
        <v>297</v>
      </c>
      <c r="J41" s="1" t="s">
        <v>412</v>
      </c>
      <c r="K41" s="1" t="s">
        <v>298</v>
      </c>
      <c r="L41" s="3" t="s">
        <v>519</v>
      </c>
      <c r="M41" s="1" t="s">
        <v>520</v>
      </c>
      <c r="N41" s="1" t="s">
        <v>521</v>
      </c>
      <c r="O41" s="1" t="s">
        <v>312</v>
      </c>
      <c r="P41" s="1" t="s">
        <v>522</v>
      </c>
      <c r="Q41" s="4" t="s">
        <v>523</v>
      </c>
    </row>
    <row r="42" spans="1:17" ht="67.5" customHeight="1">
      <c r="A42" s="50" t="s">
        <v>23</v>
      </c>
      <c r="B42" s="1" t="s">
        <v>292</v>
      </c>
      <c r="C42" s="1" t="s">
        <v>400</v>
      </c>
      <c r="D42" s="1" t="s">
        <v>524</v>
      </c>
      <c r="E42" s="1" t="s">
        <v>525</v>
      </c>
      <c r="F42" s="2" t="s">
        <v>296</v>
      </c>
      <c r="G42" s="7"/>
      <c r="H42" s="1"/>
      <c r="I42" s="1" t="s">
        <v>297</v>
      </c>
      <c r="J42" s="1" t="s">
        <v>404</v>
      </c>
      <c r="K42" s="1" t="s">
        <v>298</v>
      </c>
      <c r="L42" s="3" t="s">
        <v>526</v>
      </c>
      <c r="M42" s="1" t="s">
        <v>527</v>
      </c>
      <c r="N42" s="1" t="s">
        <v>528</v>
      </c>
      <c r="O42" s="1" t="s">
        <v>320</v>
      </c>
      <c r="P42" s="1" t="s">
        <v>529</v>
      </c>
      <c r="Q42" s="4" t="s">
        <v>530</v>
      </c>
    </row>
    <row r="43" spans="1:17" ht="67.5" customHeight="1">
      <c r="A43" s="50" t="s">
        <v>23</v>
      </c>
      <c r="B43" s="1" t="s">
        <v>471</v>
      </c>
      <c r="C43" s="1" t="s">
        <v>443</v>
      </c>
      <c r="D43" s="1" t="s">
        <v>531</v>
      </c>
      <c r="E43" s="1" t="s">
        <v>532</v>
      </c>
      <c r="F43" s="2" t="s">
        <v>296</v>
      </c>
      <c r="G43" s="7"/>
      <c r="H43" s="1"/>
      <c r="I43" s="1" t="s">
        <v>297</v>
      </c>
      <c r="J43" s="1" t="s">
        <v>349</v>
      </c>
      <c r="K43" s="1" t="s">
        <v>298</v>
      </c>
      <c r="L43" s="3" t="s">
        <v>533</v>
      </c>
      <c r="M43" s="1" t="s">
        <v>447</v>
      </c>
      <c r="N43" s="1" t="s">
        <v>534</v>
      </c>
      <c r="O43" s="1" t="s">
        <v>449</v>
      </c>
      <c r="P43" s="1" t="s">
        <v>522</v>
      </c>
      <c r="Q43" s="4" t="s">
        <v>523</v>
      </c>
    </row>
    <row r="44" spans="1:17" ht="67.5" customHeight="1">
      <c r="A44" s="50" t="s">
        <v>23</v>
      </c>
      <c r="B44" s="1" t="s">
        <v>535</v>
      </c>
      <c r="C44" s="1" t="s">
        <v>455</v>
      </c>
      <c r="D44" s="1" t="s">
        <v>536</v>
      </c>
      <c r="E44" s="1" t="s">
        <v>537</v>
      </c>
      <c r="F44" s="2" t="s">
        <v>266</v>
      </c>
      <c r="G44" s="7">
        <v>6500</v>
      </c>
      <c r="H44" s="1" t="s">
        <v>538</v>
      </c>
      <c r="I44" s="1" t="s">
        <v>363</v>
      </c>
      <c r="J44" s="1" t="s">
        <v>316</v>
      </c>
      <c r="K44" s="1" t="s">
        <v>270</v>
      </c>
      <c r="L44" s="3" t="s">
        <v>539</v>
      </c>
      <c r="M44" s="1" t="s">
        <v>466</v>
      </c>
      <c r="N44" s="1" t="s">
        <v>540</v>
      </c>
      <c r="O44" s="1" t="s">
        <v>449</v>
      </c>
      <c r="P44" s="1" t="s">
        <v>489</v>
      </c>
      <c r="Q44" s="4" t="s">
        <v>490</v>
      </c>
    </row>
    <row r="45" spans="1:17" ht="67.5" customHeight="1">
      <c r="A45" s="50" t="s">
        <v>23</v>
      </c>
      <c r="B45" s="1" t="s">
        <v>292</v>
      </c>
      <c r="C45" s="1" t="s">
        <v>455</v>
      </c>
      <c r="D45" s="1" t="s">
        <v>541</v>
      </c>
      <c r="E45" s="1" t="s">
        <v>542</v>
      </c>
      <c r="F45" s="2" t="s">
        <v>266</v>
      </c>
      <c r="G45" s="7"/>
      <c r="H45" s="1"/>
      <c r="I45" s="1" t="s">
        <v>297</v>
      </c>
      <c r="J45" s="1" t="s">
        <v>316</v>
      </c>
      <c r="K45" s="1" t="s">
        <v>298</v>
      </c>
      <c r="L45" s="3" t="s">
        <v>543</v>
      </c>
      <c r="M45" s="1" t="s">
        <v>460</v>
      </c>
      <c r="N45" s="1" t="s">
        <v>540</v>
      </c>
      <c r="O45" s="1" t="s">
        <v>449</v>
      </c>
      <c r="P45" s="1" t="s">
        <v>504</v>
      </c>
      <c r="Q45" s="4" t="s">
        <v>505</v>
      </c>
    </row>
    <row r="46" spans="1:17" ht="67.5" customHeight="1">
      <c r="A46" s="50" t="s">
        <v>34</v>
      </c>
      <c r="B46" s="1" t="s">
        <v>277</v>
      </c>
      <c r="C46" s="1" t="s">
        <v>263</v>
      </c>
      <c r="D46" s="1" t="s">
        <v>544</v>
      </c>
      <c r="E46" s="1" t="s">
        <v>545</v>
      </c>
      <c r="F46" s="2" t="s">
        <v>280</v>
      </c>
      <c r="G46" s="7"/>
      <c r="H46" s="1"/>
      <c r="I46" s="1" t="s">
        <v>281</v>
      </c>
      <c r="J46" s="1" t="s">
        <v>269</v>
      </c>
      <c r="K46" s="1" t="s">
        <v>280</v>
      </c>
      <c r="L46" s="3" t="s">
        <v>546</v>
      </c>
      <c r="M46" s="1" t="s">
        <v>283</v>
      </c>
      <c r="N46" s="1" t="s">
        <v>273</v>
      </c>
      <c r="O46" s="1" t="s">
        <v>290</v>
      </c>
      <c r="P46" s="1" t="s">
        <v>284</v>
      </c>
      <c r="Q46" s="4" t="s">
        <v>547</v>
      </c>
    </row>
    <row r="47" spans="1:17" ht="67.5" customHeight="1">
      <c r="A47" s="50" t="s">
        <v>34</v>
      </c>
      <c r="B47" s="1" t="s">
        <v>277</v>
      </c>
      <c r="C47" s="1" t="s">
        <v>293</v>
      </c>
      <c r="D47" s="1" t="s">
        <v>548</v>
      </c>
      <c r="E47" s="1" t="s">
        <v>549</v>
      </c>
      <c r="F47" s="2" t="s">
        <v>280</v>
      </c>
      <c r="G47" s="7"/>
      <c r="H47" s="1"/>
      <c r="I47" s="1" t="s">
        <v>281</v>
      </c>
      <c r="J47" s="1" t="s">
        <v>269</v>
      </c>
      <c r="K47" s="1" t="s">
        <v>280</v>
      </c>
      <c r="L47" s="3" t="s">
        <v>550</v>
      </c>
      <c r="M47" s="1" t="s">
        <v>283</v>
      </c>
      <c r="N47" s="1" t="s">
        <v>273</v>
      </c>
      <c r="O47" s="1" t="s">
        <v>290</v>
      </c>
      <c r="P47" s="1" t="s">
        <v>551</v>
      </c>
      <c r="Q47" s="4" t="s">
        <v>547</v>
      </c>
    </row>
    <row r="48" spans="1:17" ht="67.5" customHeight="1">
      <c r="A48" s="50" t="s">
        <v>34</v>
      </c>
      <c r="B48" s="1" t="s">
        <v>552</v>
      </c>
      <c r="C48" s="1" t="s">
        <v>293</v>
      </c>
      <c r="D48" s="1" t="s">
        <v>553</v>
      </c>
      <c r="E48" s="1" t="s">
        <v>554</v>
      </c>
      <c r="F48" s="2" t="s">
        <v>397</v>
      </c>
      <c r="G48" s="7">
        <v>141185</v>
      </c>
      <c r="H48" s="1" t="s">
        <v>555</v>
      </c>
      <c r="I48" s="1" t="s">
        <v>268</v>
      </c>
      <c r="J48" s="1" t="s">
        <v>269</v>
      </c>
      <c r="K48" s="1" t="s">
        <v>270</v>
      </c>
      <c r="L48" s="3" t="s">
        <v>556</v>
      </c>
      <c r="M48" s="1" t="s">
        <v>310</v>
      </c>
      <c r="N48" s="1" t="s">
        <v>273</v>
      </c>
      <c r="O48" s="1" t="s">
        <v>312</v>
      </c>
      <c r="P48" s="1" t="s">
        <v>557</v>
      </c>
      <c r="Q48" s="4" t="s">
        <v>558</v>
      </c>
    </row>
    <row r="49" spans="1:17" ht="67.5" customHeight="1">
      <c r="A49" s="50" t="s">
        <v>34</v>
      </c>
      <c r="B49" s="1" t="s">
        <v>277</v>
      </c>
      <c r="C49" s="1" t="s">
        <v>304</v>
      </c>
      <c r="D49" s="1" t="s">
        <v>559</v>
      </c>
      <c r="E49" s="1" t="s">
        <v>560</v>
      </c>
      <c r="F49" s="2" t="s">
        <v>280</v>
      </c>
      <c r="G49" s="7"/>
      <c r="H49" s="1"/>
      <c r="I49" s="1" t="s">
        <v>281</v>
      </c>
      <c r="J49" s="1" t="s">
        <v>269</v>
      </c>
      <c r="K49" s="1" t="s">
        <v>280</v>
      </c>
      <c r="L49" s="3" t="s">
        <v>561</v>
      </c>
      <c r="M49" s="1" t="s">
        <v>283</v>
      </c>
      <c r="N49" s="1" t="s">
        <v>562</v>
      </c>
      <c r="O49" s="1" t="s">
        <v>290</v>
      </c>
      <c r="P49" s="1" t="s">
        <v>551</v>
      </c>
      <c r="Q49" s="4" t="s">
        <v>547</v>
      </c>
    </row>
    <row r="50" spans="1:17" ht="67.5" customHeight="1">
      <c r="A50" s="50" t="s">
        <v>34</v>
      </c>
      <c r="B50" s="1" t="s">
        <v>552</v>
      </c>
      <c r="C50" s="1" t="s">
        <v>304</v>
      </c>
      <c r="D50" s="1" t="s">
        <v>563</v>
      </c>
      <c r="E50" s="1" t="s">
        <v>564</v>
      </c>
      <c r="F50" s="2" t="s">
        <v>397</v>
      </c>
      <c r="G50" s="7">
        <v>445627</v>
      </c>
      <c r="H50" s="1" t="s">
        <v>565</v>
      </c>
      <c r="I50" s="1" t="s">
        <v>268</v>
      </c>
      <c r="J50" s="1" t="s">
        <v>308</v>
      </c>
      <c r="K50" s="1" t="s">
        <v>270</v>
      </c>
      <c r="L50" s="3" t="s">
        <v>566</v>
      </c>
      <c r="M50" s="1" t="s">
        <v>310</v>
      </c>
      <c r="N50" s="1" t="s">
        <v>567</v>
      </c>
      <c r="O50" s="1" t="s">
        <v>312</v>
      </c>
      <c r="P50" s="1" t="s">
        <v>557</v>
      </c>
      <c r="Q50" s="4" t="s">
        <v>558</v>
      </c>
    </row>
    <row r="51" spans="1:17" ht="67.5" customHeight="1">
      <c r="A51" s="50" t="s">
        <v>34</v>
      </c>
      <c r="B51" s="1" t="s">
        <v>277</v>
      </c>
      <c r="C51" s="1" t="s">
        <v>330</v>
      </c>
      <c r="D51" s="1" t="s">
        <v>568</v>
      </c>
      <c r="E51" s="1" t="s">
        <v>569</v>
      </c>
      <c r="F51" s="2" t="s">
        <v>280</v>
      </c>
      <c r="G51" s="7"/>
      <c r="H51" s="1"/>
      <c r="I51" s="1" t="s">
        <v>281</v>
      </c>
      <c r="J51" s="1" t="s">
        <v>269</v>
      </c>
      <c r="K51" s="1" t="s">
        <v>280</v>
      </c>
      <c r="L51" s="3" t="s">
        <v>570</v>
      </c>
      <c r="M51" s="1" t="s">
        <v>283</v>
      </c>
      <c r="N51" s="1" t="s">
        <v>340</v>
      </c>
      <c r="O51" s="1" t="s">
        <v>290</v>
      </c>
      <c r="P51" s="1" t="s">
        <v>551</v>
      </c>
      <c r="Q51" s="4" t="s">
        <v>547</v>
      </c>
    </row>
    <row r="52" spans="1:17" ht="67.5" customHeight="1">
      <c r="A52" s="50" t="s">
        <v>34</v>
      </c>
      <c r="B52" s="1" t="s">
        <v>292</v>
      </c>
      <c r="C52" s="1" t="s">
        <v>345</v>
      </c>
      <c r="D52" s="1" t="s">
        <v>571</v>
      </c>
      <c r="E52" s="1" t="s">
        <v>572</v>
      </c>
      <c r="F52" s="2" t="s">
        <v>266</v>
      </c>
      <c r="G52" s="7">
        <v>15</v>
      </c>
      <c r="H52" s="1" t="s">
        <v>573</v>
      </c>
      <c r="I52" s="1" t="s">
        <v>268</v>
      </c>
      <c r="J52" s="1" t="s">
        <v>316</v>
      </c>
      <c r="K52" s="1" t="s">
        <v>574</v>
      </c>
      <c r="L52" s="3" t="s">
        <v>575</v>
      </c>
      <c r="M52" s="1" t="s">
        <v>576</v>
      </c>
      <c r="N52" s="1" t="s">
        <v>540</v>
      </c>
      <c r="O52" s="1" t="s">
        <v>449</v>
      </c>
      <c r="P52" s="1" t="s">
        <v>577</v>
      </c>
      <c r="Q52" s="4" t="s">
        <v>578</v>
      </c>
    </row>
    <row r="53" spans="1:17" ht="67.5" customHeight="1">
      <c r="A53" s="50" t="s">
        <v>34</v>
      </c>
      <c r="B53" s="1" t="s">
        <v>292</v>
      </c>
      <c r="C53" s="1" t="s">
        <v>345</v>
      </c>
      <c r="D53" s="1" t="s">
        <v>579</v>
      </c>
      <c r="E53" s="1" t="s">
        <v>580</v>
      </c>
      <c r="F53" s="2" t="s">
        <v>296</v>
      </c>
      <c r="G53" s="7"/>
      <c r="H53" s="1"/>
      <c r="I53" s="1" t="s">
        <v>297</v>
      </c>
      <c r="J53" s="1" t="s">
        <v>316</v>
      </c>
      <c r="K53" s="1" t="s">
        <v>298</v>
      </c>
      <c r="L53" s="3" t="s">
        <v>581</v>
      </c>
      <c r="M53" s="1" t="s">
        <v>582</v>
      </c>
      <c r="N53" s="1" t="s">
        <v>583</v>
      </c>
      <c r="O53" s="1" t="s">
        <v>449</v>
      </c>
      <c r="P53" s="1" t="s">
        <v>584</v>
      </c>
      <c r="Q53" s="4" t="s">
        <v>585</v>
      </c>
    </row>
    <row r="54" spans="1:17" ht="67.5" customHeight="1">
      <c r="A54" s="50" t="s">
        <v>34</v>
      </c>
      <c r="B54" s="1" t="s">
        <v>586</v>
      </c>
      <c r="C54" s="1" t="s">
        <v>400</v>
      </c>
      <c r="D54" s="1" t="s">
        <v>587</v>
      </c>
      <c r="E54" s="1" t="s">
        <v>588</v>
      </c>
      <c r="F54" s="2" t="s">
        <v>266</v>
      </c>
      <c r="G54" s="7"/>
      <c r="H54" s="1"/>
      <c r="I54" s="1" t="s">
        <v>297</v>
      </c>
      <c r="J54" s="1" t="s">
        <v>404</v>
      </c>
      <c r="K54" s="1" t="s">
        <v>298</v>
      </c>
      <c r="L54" s="3" t="s">
        <v>589</v>
      </c>
      <c r="M54" s="1" t="s">
        <v>590</v>
      </c>
      <c r="N54" s="1" t="s">
        <v>591</v>
      </c>
      <c r="O54" s="1" t="s">
        <v>320</v>
      </c>
      <c r="P54" s="1" t="s">
        <v>592</v>
      </c>
      <c r="Q54" s="4" t="s">
        <v>547</v>
      </c>
    </row>
    <row r="55" spans="1:17" ht="67.5" customHeight="1">
      <c r="A55" s="50" t="s">
        <v>34</v>
      </c>
      <c r="B55" s="1" t="s">
        <v>292</v>
      </c>
      <c r="C55" s="1" t="s">
        <v>400</v>
      </c>
      <c r="D55" s="1" t="s">
        <v>593</v>
      </c>
      <c r="E55" s="1" t="s">
        <v>594</v>
      </c>
      <c r="F55" s="2" t="s">
        <v>266</v>
      </c>
      <c r="G55" s="7"/>
      <c r="H55" s="1"/>
      <c r="I55" s="1" t="s">
        <v>297</v>
      </c>
      <c r="J55" s="1" t="s">
        <v>404</v>
      </c>
      <c r="K55" s="1" t="s">
        <v>298</v>
      </c>
      <c r="L55" s="3" t="s">
        <v>595</v>
      </c>
      <c r="M55" s="1" t="s">
        <v>590</v>
      </c>
      <c r="N55" s="1" t="s">
        <v>596</v>
      </c>
      <c r="O55" s="1" t="s">
        <v>320</v>
      </c>
      <c r="P55" s="1" t="s">
        <v>592</v>
      </c>
      <c r="Q55" s="4" t="s">
        <v>547</v>
      </c>
    </row>
    <row r="56" spans="1:17" ht="67.5" customHeight="1">
      <c r="A56" s="50" t="s">
        <v>34</v>
      </c>
      <c r="B56" s="1" t="s">
        <v>586</v>
      </c>
      <c r="C56" s="1" t="s">
        <v>400</v>
      </c>
      <c r="D56" s="1" t="s">
        <v>597</v>
      </c>
      <c r="E56" s="1" t="s">
        <v>598</v>
      </c>
      <c r="F56" s="2" t="s">
        <v>296</v>
      </c>
      <c r="G56" s="7"/>
      <c r="H56" s="1"/>
      <c r="I56" s="1" t="s">
        <v>297</v>
      </c>
      <c r="J56" s="1" t="s">
        <v>404</v>
      </c>
      <c r="K56" s="1" t="s">
        <v>298</v>
      </c>
      <c r="L56" s="3" t="s">
        <v>599</v>
      </c>
      <c r="M56" s="1" t="s">
        <v>431</v>
      </c>
      <c r="N56" s="1" t="s">
        <v>432</v>
      </c>
      <c r="O56" s="1" t="s">
        <v>320</v>
      </c>
      <c r="P56" s="1" t="s">
        <v>592</v>
      </c>
      <c r="Q56" s="4" t="s">
        <v>547</v>
      </c>
    </row>
    <row r="57" spans="1:17" ht="67.5" customHeight="1">
      <c r="A57" s="50" t="s">
        <v>34</v>
      </c>
      <c r="B57" s="1" t="s">
        <v>292</v>
      </c>
      <c r="C57" s="1" t="s">
        <v>443</v>
      </c>
      <c r="D57" s="1" t="s">
        <v>600</v>
      </c>
      <c r="E57" s="1" t="s">
        <v>601</v>
      </c>
      <c r="F57" s="2" t="s">
        <v>266</v>
      </c>
      <c r="G57" s="7"/>
      <c r="H57" s="1"/>
      <c r="I57" s="1" t="s">
        <v>297</v>
      </c>
      <c r="J57" s="1" t="s">
        <v>316</v>
      </c>
      <c r="K57" s="1" t="s">
        <v>298</v>
      </c>
      <c r="L57" s="3" t="s">
        <v>602</v>
      </c>
      <c r="M57" s="1" t="s">
        <v>603</v>
      </c>
      <c r="N57" s="1" t="s">
        <v>604</v>
      </c>
      <c r="O57" s="1" t="s">
        <v>449</v>
      </c>
      <c r="P57" s="1" t="s">
        <v>584</v>
      </c>
      <c r="Q57" s="4" t="s">
        <v>585</v>
      </c>
    </row>
    <row r="58" spans="1:17" ht="67.5" customHeight="1">
      <c r="A58" s="50" t="s">
        <v>34</v>
      </c>
      <c r="B58" s="1" t="s">
        <v>292</v>
      </c>
      <c r="C58" s="1" t="s">
        <v>455</v>
      </c>
      <c r="D58" s="1" t="s">
        <v>605</v>
      </c>
      <c r="E58" s="1" t="s">
        <v>606</v>
      </c>
      <c r="F58" s="2" t="s">
        <v>266</v>
      </c>
      <c r="G58" s="7"/>
      <c r="H58" s="1"/>
      <c r="I58" s="1" t="s">
        <v>297</v>
      </c>
      <c r="J58" s="1" t="s">
        <v>316</v>
      </c>
      <c r="K58" s="1" t="s">
        <v>298</v>
      </c>
      <c r="L58" s="3" t="s">
        <v>607</v>
      </c>
      <c r="M58" s="1" t="s">
        <v>460</v>
      </c>
      <c r="N58" s="1" t="s">
        <v>608</v>
      </c>
      <c r="O58" s="1" t="s">
        <v>449</v>
      </c>
      <c r="P58" s="1" t="s">
        <v>584</v>
      </c>
      <c r="Q58" s="4" t="s">
        <v>585</v>
      </c>
    </row>
    <row r="59" spans="1:17" ht="67.5" customHeight="1">
      <c r="A59" s="50" t="s">
        <v>45</v>
      </c>
      <c r="B59" s="1" t="s">
        <v>292</v>
      </c>
      <c r="C59" s="1" t="s">
        <v>263</v>
      </c>
      <c r="D59" s="1" t="s">
        <v>609</v>
      </c>
      <c r="E59" s="1" t="s">
        <v>610</v>
      </c>
      <c r="F59" s="2" t="s">
        <v>266</v>
      </c>
      <c r="G59" s="7"/>
      <c r="H59" s="1"/>
      <c r="I59" s="1" t="s">
        <v>297</v>
      </c>
      <c r="J59" s="1" t="s">
        <v>269</v>
      </c>
      <c r="K59" s="1" t="s">
        <v>298</v>
      </c>
      <c r="L59" s="3" t="s">
        <v>611</v>
      </c>
      <c r="M59" s="1" t="s">
        <v>272</v>
      </c>
      <c r="N59" s="1" t="s">
        <v>612</v>
      </c>
      <c r="O59" s="1" t="s">
        <v>274</v>
      </c>
      <c r="P59" s="1" t="s">
        <v>613</v>
      </c>
      <c r="Q59" s="4" t="s">
        <v>614</v>
      </c>
    </row>
    <row r="60" spans="1:17" ht="67.5" customHeight="1">
      <c r="A60" s="50" t="s">
        <v>45</v>
      </c>
      <c r="B60" s="1" t="s">
        <v>292</v>
      </c>
      <c r="C60" s="1" t="s">
        <v>293</v>
      </c>
      <c r="D60" s="1" t="s">
        <v>615</v>
      </c>
      <c r="E60" s="1" t="s">
        <v>616</v>
      </c>
      <c r="F60" s="2" t="s">
        <v>266</v>
      </c>
      <c r="G60" s="7"/>
      <c r="H60" s="1"/>
      <c r="I60" s="1" t="s">
        <v>297</v>
      </c>
      <c r="J60" s="1" t="s">
        <v>269</v>
      </c>
      <c r="K60" s="1" t="s">
        <v>298</v>
      </c>
      <c r="L60" s="3" t="s">
        <v>617</v>
      </c>
      <c r="M60" s="1" t="s">
        <v>272</v>
      </c>
      <c r="N60" s="1" t="s">
        <v>618</v>
      </c>
      <c r="O60" s="1" t="s">
        <v>312</v>
      </c>
      <c r="P60" s="1" t="s">
        <v>619</v>
      </c>
      <c r="Q60" s="4" t="s">
        <v>614</v>
      </c>
    </row>
    <row r="61" spans="1:17" ht="67.5" customHeight="1">
      <c r="A61" s="50" t="s">
        <v>45</v>
      </c>
      <c r="B61" s="1" t="s">
        <v>292</v>
      </c>
      <c r="C61" s="1" t="s">
        <v>304</v>
      </c>
      <c r="D61" s="1" t="s">
        <v>620</v>
      </c>
      <c r="E61" s="1" t="s">
        <v>621</v>
      </c>
      <c r="F61" s="2" t="s">
        <v>266</v>
      </c>
      <c r="G61" s="7"/>
      <c r="H61" s="1"/>
      <c r="I61" s="1" t="s">
        <v>297</v>
      </c>
      <c r="J61" s="1" t="s">
        <v>269</v>
      </c>
      <c r="K61" s="1" t="s">
        <v>298</v>
      </c>
      <c r="L61" s="3" t="s">
        <v>622</v>
      </c>
      <c r="M61" s="1" t="s">
        <v>623</v>
      </c>
      <c r="N61" s="1" t="s">
        <v>624</v>
      </c>
      <c r="O61" s="1" t="s">
        <v>312</v>
      </c>
      <c r="P61" s="1" t="s">
        <v>625</v>
      </c>
      <c r="Q61" s="4" t="s">
        <v>626</v>
      </c>
    </row>
    <row r="62" spans="1:17" ht="67.5" customHeight="1">
      <c r="A62" s="50" t="s">
        <v>45</v>
      </c>
      <c r="B62" s="1" t="s">
        <v>483</v>
      </c>
      <c r="C62" s="1" t="s">
        <v>304</v>
      </c>
      <c r="D62" s="1" t="s">
        <v>627</v>
      </c>
      <c r="E62" s="1" t="s">
        <v>628</v>
      </c>
      <c r="F62" s="2" t="s">
        <v>266</v>
      </c>
      <c r="G62" s="7"/>
      <c r="H62" s="1"/>
      <c r="I62" s="1" t="s">
        <v>297</v>
      </c>
      <c r="J62" s="1" t="s">
        <v>308</v>
      </c>
      <c r="K62" s="1" t="s">
        <v>298</v>
      </c>
      <c r="L62" s="3" t="s">
        <v>629</v>
      </c>
      <c r="M62" s="1" t="s">
        <v>481</v>
      </c>
      <c r="N62" s="1" t="s">
        <v>630</v>
      </c>
      <c r="O62" s="1" t="s">
        <v>312</v>
      </c>
      <c r="P62" s="1" t="s">
        <v>631</v>
      </c>
      <c r="Q62" s="4" t="s">
        <v>614</v>
      </c>
    </row>
    <row r="63" spans="1:17" ht="67.5" customHeight="1">
      <c r="A63" s="50" t="s">
        <v>45</v>
      </c>
      <c r="B63" s="1" t="s">
        <v>292</v>
      </c>
      <c r="C63" s="1" t="s">
        <v>330</v>
      </c>
      <c r="D63" s="1" t="s">
        <v>632</v>
      </c>
      <c r="E63" s="1" t="s">
        <v>633</v>
      </c>
      <c r="F63" s="2" t="s">
        <v>266</v>
      </c>
      <c r="G63" s="7">
        <v>80</v>
      </c>
      <c r="H63" s="1" t="s">
        <v>634</v>
      </c>
      <c r="I63" s="1" t="s">
        <v>268</v>
      </c>
      <c r="J63" s="1" t="s">
        <v>333</v>
      </c>
      <c r="K63" s="1" t="s">
        <v>270</v>
      </c>
      <c r="L63" s="3" t="s">
        <v>635</v>
      </c>
      <c r="M63" s="1" t="s">
        <v>636</v>
      </c>
      <c r="N63" s="1" t="s">
        <v>637</v>
      </c>
      <c r="O63" s="1" t="s">
        <v>312</v>
      </c>
      <c r="P63" s="1" t="s">
        <v>631</v>
      </c>
      <c r="Q63" s="4" t="s">
        <v>614</v>
      </c>
    </row>
    <row r="64" spans="1:17" ht="67.5" customHeight="1">
      <c r="A64" s="50" t="s">
        <v>45</v>
      </c>
      <c r="B64" s="1" t="s">
        <v>277</v>
      </c>
      <c r="C64" s="1" t="s">
        <v>345</v>
      </c>
      <c r="D64" s="1" t="s">
        <v>638</v>
      </c>
      <c r="E64" s="1" t="s">
        <v>639</v>
      </c>
      <c r="F64" s="2" t="s">
        <v>280</v>
      </c>
      <c r="G64" s="7"/>
      <c r="H64" s="1"/>
      <c r="I64" s="1" t="s">
        <v>281</v>
      </c>
      <c r="J64" s="1" t="s">
        <v>373</v>
      </c>
      <c r="K64" s="1" t="s">
        <v>280</v>
      </c>
      <c r="L64" s="3" t="s">
        <v>640</v>
      </c>
      <c r="M64" s="1" t="s">
        <v>283</v>
      </c>
      <c r="N64" s="1" t="s">
        <v>641</v>
      </c>
      <c r="O64" s="1" t="s">
        <v>290</v>
      </c>
      <c r="P64" s="1" t="s">
        <v>284</v>
      </c>
      <c r="Q64" s="4" t="s">
        <v>642</v>
      </c>
    </row>
    <row r="65" spans="1:17" ht="67.5" customHeight="1">
      <c r="A65" s="50" t="s">
        <v>45</v>
      </c>
      <c r="B65" s="1" t="s">
        <v>483</v>
      </c>
      <c r="C65" s="1" t="s">
        <v>400</v>
      </c>
      <c r="D65" s="1" t="s">
        <v>643</v>
      </c>
      <c r="E65" s="1" t="s">
        <v>644</v>
      </c>
      <c r="F65" s="2" t="s">
        <v>266</v>
      </c>
      <c r="G65" s="7">
        <v>98</v>
      </c>
      <c r="H65" s="1" t="s">
        <v>645</v>
      </c>
      <c r="I65" s="1" t="s">
        <v>268</v>
      </c>
      <c r="J65" s="1" t="s">
        <v>412</v>
      </c>
      <c r="K65" s="1" t="s">
        <v>270</v>
      </c>
      <c r="L65" s="3" t="s">
        <v>646</v>
      </c>
      <c r="M65" s="1" t="s">
        <v>590</v>
      </c>
      <c r="N65" s="1" t="s">
        <v>647</v>
      </c>
      <c r="O65" s="1" t="s">
        <v>320</v>
      </c>
      <c r="P65" s="1" t="s">
        <v>631</v>
      </c>
      <c r="Q65" s="4" t="s">
        <v>614</v>
      </c>
    </row>
    <row r="66" spans="1:17" ht="67.5" customHeight="1">
      <c r="A66" s="50" t="s">
        <v>45</v>
      </c>
      <c r="B66" s="1" t="s">
        <v>292</v>
      </c>
      <c r="C66" s="1" t="s">
        <v>443</v>
      </c>
      <c r="D66" s="1" t="s">
        <v>648</v>
      </c>
      <c r="E66" s="1" t="s">
        <v>649</v>
      </c>
      <c r="F66" s="2" t="s">
        <v>266</v>
      </c>
      <c r="G66" s="7"/>
      <c r="H66" s="1"/>
      <c r="I66" s="1" t="s">
        <v>297</v>
      </c>
      <c r="J66" s="1" t="s">
        <v>349</v>
      </c>
      <c r="K66" s="1" t="s">
        <v>298</v>
      </c>
      <c r="L66" s="3" t="s">
        <v>650</v>
      </c>
      <c r="M66" s="1" t="s">
        <v>651</v>
      </c>
      <c r="N66" s="1" t="s">
        <v>652</v>
      </c>
      <c r="O66" s="1" t="s">
        <v>449</v>
      </c>
      <c r="P66" s="1" t="s">
        <v>625</v>
      </c>
      <c r="Q66" s="4" t="s">
        <v>626</v>
      </c>
    </row>
    <row r="67" spans="1:17" ht="67.5" customHeight="1">
      <c r="A67" s="50" t="s">
        <v>45</v>
      </c>
      <c r="B67" s="1" t="s">
        <v>292</v>
      </c>
      <c r="C67" s="1" t="s">
        <v>455</v>
      </c>
      <c r="D67" s="1" t="s">
        <v>653</v>
      </c>
      <c r="E67" s="1" t="s">
        <v>654</v>
      </c>
      <c r="F67" s="2" t="s">
        <v>266</v>
      </c>
      <c r="G67" s="7"/>
      <c r="H67" s="1"/>
      <c r="I67" s="1" t="s">
        <v>297</v>
      </c>
      <c r="J67" s="1" t="s">
        <v>316</v>
      </c>
      <c r="K67" s="1" t="s">
        <v>298</v>
      </c>
      <c r="L67" s="3" t="s">
        <v>655</v>
      </c>
      <c r="M67" s="1" t="s">
        <v>460</v>
      </c>
      <c r="N67" s="1" t="s">
        <v>656</v>
      </c>
      <c r="O67" s="1" t="s">
        <v>449</v>
      </c>
      <c r="P67" s="1" t="s">
        <v>625</v>
      </c>
      <c r="Q67" s="4" t="s">
        <v>626</v>
      </c>
    </row>
    <row r="68" spans="1:17" ht="67.5" customHeight="1">
      <c r="A68" s="50" t="s">
        <v>45</v>
      </c>
      <c r="B68" s="1" t="s">
        <v>483</v>
      </c>
      <c r="C68" s="1" t="s">
        <v>455</v>
      </c>
      <c r="D68" s="1" t="s">
        <v>657</v>
      </c>
      <c r="E68" s="1" t="s">
        <v>658</v>
      </c>
      <c r="F68" s="2" t="s">
        <v>296</v>
      </c>
      <c r="G68" s="7"/>
      <c r="H68" s="1"/>
      <c r="I68" s="1" t="s">
        <v>297</v>
      </c>
      <c r="J68" s="1" t="s">
        <v>316</v>
      </c>
      <c r="K68" s="1" t="s">
        <v>298</v>
      </c>
      <c r="L68" s="3" t="s">
        <v>659</v>
      </c>
      <c r="M68" s="1" t="s">
        <v>660</v>
      </c>
      <c r="N68" s="1" t="s">
        <v>661</v>
      </c>
      <c r="O68" s="1" t="s">
        <v>354</v>
      </c>
      <c r="P68" s="1" t="s">
        <v>631</v>
      </c>
      <c r="Q68" s="4" t="s">
        <v>614</v>
      </c>
    </row>
    <row r="69" spans="1:17" ht="67.5" customHeight="1">
      <c r="A69" s="50" t="s">
        <v>56</v>
      </c>
      <c r="B69" s="1" t="s">
        <v>662</v>
      </c>
      <c r="C69" s="1" t="s">
        <v>263</v>
      </c>
      <c r="D69" s="1" t="s">
        <v>663</v>
      </c>
      <c r="E69" s="1" t="s">
        <v>664</v>
      </c>
      <c r="F69" s="2" t="s">
        <v>266</v>
      </c>
      <c r="G69" s="7">
        <v>3</v>
      </c>
      <c r="H69" s="1" t="s">
        <v>665</v>
      </c>
      <c r="I69" s="1" t="s">
        <v>268</v>
      </c>
      <c r="J69" s="1" t="s">
        <v>269</v>
      </c>
      <c r="K69" s="1" t="s">
        <v>350</v>
      </c>
      <c r="L69" s="3" t="s">
        <v>666</v>
      </c>
      <c r="M69" s="1" t="s">
        <v>310</v>
      </c>
      <c r="N69" s="1" t="s">
        <v>667</v>
      </c>
      <c r="O69" s="1" t="s">
        <v>312</v>
      </c>
      <c r="P69" s="1" t="s">
        <v>668</v>
      </c>
      <c r="Q69" s="4" t="s">
        <v>669</v>
      </c>
    </row>
    <row r="70" spans="1:17" ht="67.5" customHeight="1">
      <c r="A70" s="50" t="s">
        <v>56</v>
      </c>
      <c r="B70" s="1" t="s">
        <v>292</v>
      </c>
      <c r="C70" s="1" t="s">
        <v>263</v>
      </c>
      <c r="D70" s="1" t="s">
        <v>378</v>
      </c>
      <c r="E70" s="1" t="s">
        <v>670</v>
      </c>
      <c r="F70" s="2" t="s">
        <v>266</v>
      </c>
      <c r="G70" s="7">
        <v>83.5</v>
      </c>
      <c r="H70" s="1" t="s">
        <v>671</v>
      </c>
      <c r="I70" s="1" t="s">
        <v>268</v>
      </c>
      <c r="J70" s="1" t="s">
        <v>269</v>
      </c>
      <c r="K70" s="1" t="s">
        <v>350</v>
      </c>
      <c r="L70" s="3" t="s">
        <v>672</v>
      </c>
      <c r="M70" s="1" t="s">
        <v>283</v>
      </c>
      <c r="N70" s="1" t="s">
        <v>273</v>
      </c>
      <c r="O70" s="1" t="s">
        <v>274</v>
      </c>
      <c r="P70" s="1" t="s">
        <v>673</v>
      </c>
      <c r="Q70" s="4" t="s">
        <v>674</v>
      </c>
    </row>
    <row r="71" spans="1:17" ht="67.5" customHeight="1">
      <c r="A71" s="50" t="s">
        <v>56</v>
      </c>
      <c r="B71" s="1" t="s">
        <v>292</v>
      </c>
      <c r="C71" s="1" t="s">
        <v>293</v>
      </c>
      <c r="D71" s="1" t="s">
        <v>675</v>
      </c>
      <c r="E71" s="1" t="s">
        <v>676</v>
      </c>
      <c r="F71" s="2" t="s">
        <v>266</v>
      </c>
      <c r="G71" s="7">
        <v>4539.37</v>
      </c>
      <c r="H71" s="1" t="s">
        <v>677</v>
      </c>
      <c r="I71" s="1" t="s">
        <v>268</v>
      </c>
      <c r="J71" s="1" t="s">
        <v>269</v>
      </c>
      <c r="K71" s="1" t="s">
        <v>350</v>
      </c>
      <c r="L71" s="3" t="s">
        <v>678</v>
      </c>
      <c r="M71" s="1" t="s">
        <v>283</v>
      </c>
      <c r="N71" s="1" t="s">
        <v>273</v>
      </c>
      <c r="O71" s="1" t="s">
        <v>274</v>
      </c>
      <c r="P71" s="1" t="s">
        <v>673</v>
      </c>
      <c r="Q71" s="4" t="s">
        <v>674</v>
      </c>
    </row>
    <row r="72" spans="1:17" ht="67.5" customHeight="1">
      <c r="A72" s="50" t="s">
        <v>56</v>
      </c>
      <c r="B72" s="1" t="s">
        <v>262</v>
      </c>
      <c r="C72" s="1" t="s">
        <v>304</v>
      </c>
      <c r="D72" s="1" t="s">
        <v>679</v>
      </c>
      <c r="E72" s="1" t="s">
        <v>680</v>
      </c>
      <c r="F72" s="2" t="s">
        <v>266</v>
      </c>
      <c r="G72" s="7">
        <v>81000</v>
      </c>
      <c r="H72" s="1" t="s">
        <v>681</v>
      </c>
      <c r="I72" s="1" t="s">
        <v>268</v>
      </c>
      <c r="J72" s="1" t="s">
        <v>308</v>
      </c>
      <c r="K72" s="1" t="s">
        <v>270</v>
      </c>
      <c r="L72" s="3" t="s">
        <v>682</v>
      </c>
      <c r="M72" s="1" t="s">
        <v>683</v>
      </c>
      <c r="N72" s="1" t="s">
        <v>684</v>
      </c>
      <c r="O72" s="1" t="s">
        <v>312</v>
      </c>
      <c r="P72" s="1" t="s">
        <v>685</v>
      </c>
      <c r="Q72" s="4" t="s">
        <v>686</v>
      </c>
    </row>
    <row r="73" spans="1:17" ht="67.5" customHeight="1">
      <c r="A73" s="50" t="s">
        <v>56</v>
      </c>
      <c r="B73" s="1" t="s">
        <v>292</v>
      </c>
      <c r="C73" s="1" t="s">
        <v>304</v>
      </c>
      <c r="D73" s="1" t="s">
        <v>687</v>
      </c>
      <c r="E73" s="1" t="s">
        <v>688</v>
      </c>
      <c r="F73" s="2" t="s">
        <v>296</v>
      </c>
      <c r="G73" s="7"/>
      <c r="H73" s="1"/>
      <c r="I73" s="1" t="s">
        <v>297</v>
      </c>
      <c r="J73" s="1" t="s">
        <v>308</v>
      </c>
      <c r="K73" s="1" t="s">
        <v>298</v>
      </c>
      <c r="L73" s="3" t="s">
        <v>689</v>
      </c>
      <c r="M73" s="1" t="s">
        <v>466</v>
      </c>
      <c r="N73" s="1" t="s">
        <v>690</v>
      </c>
      <c r="O73" s="1" t="s">
        <v>274</v>
      </c>
      <c r="P73" s="1" t="s">
        <v>673</v>
      </c>
      <c r="Q73" s="4" t="s">
        <v>674</v>
      </c>
    </row>
    <row r="74" spans="1:17" ht="67.5" customHeight="1">
      <c r="A74" s="50" t="s">
        <v>56</v>
      </c>
      <c r="B74" s="1" t="s">
        <v>292</v>
      </c>
      <c r="C74" s="1" t="s">
        <v>330</v>
      </c>
      <c r="D74" s="1" t="s">
        <v>691</v>
      </c>
      <c r="E74" s="1" t="s">
        <v>692</v>
      </c>
      <c r="F74" s="2" t="s">
        <v>296</v>
      </c>
      <c r="G74" s="7"/>
      <c r="H74" s="1"/>
      <c r="I74" s="1" t="s">
        <v>297</v>
      </c>
      <c r="J74" s="1" t="s">
        <v>333</v>
      </c>
      <c r="K74" s="1" t="s">
        <v>298</v>
      </c>
      <c r="L74" s="3" t="s">
        <v>693</v>
      </c>
      <c r="M74" s="1" t="s">
        <v>300</v>
      </c>
      <c r="N74" s="1" t="s">
        <v>694</v>
      </c>
      <c r="O74" s="1" t="s">
        <v>274</v>
      </c>
      <c r="P74" s="1" t="s">
        <v>695</v>
      </c>
      <c r="Q74" s="4" t="s">
        <v>696</v>
      </c>
    </row>
    <row r="75" spans="1:17" ht="67.5" customHeight="1">
      <c r="A75" s="50" t="s">
        <v>56</v>
      </c>
      <c r="B75" s="1" t="s">
        <v>662</v>
      </c>
      <c r="C75" s="1" t="s">
        <v>345</v>
      </c>
      <c r="D75" s="1" t="s">
        <v>697</v>
      </c>
      <c r="E75" s="1" t="s">
        <v>698</v>
      </c>
      <c r="F75" s="2" t="s">
        <v>296</v>
      </c>
      <c r="G75" s="7"/>
      <c r="H75" s="1"/>
      <c r="I75" s="1" t="s">
        <v>297</v>
      </c>
      <c r="J75" s="1" t="s">
        <v>269</v>
      </c>
      <c r="K75" s="1" t="s">
        <v>699</v>
      </c>
      <c r="L75" s="3" t="s">
        <v>700</v>
      </c>
      <c r="M75" s="1" t="s">
        <v>300</v>
      </c>
      <c r="N75" s="1" t="s">
        <v>701</v>
      </c>
      <c r="O75" s="1" t="s">
        <v>290</v>
      </c>
      <c r="P75" s="1" t="s">
        <v>668</v>
      </c>
      <c r="Q75" s="4" t="s">
        <v>669</v>
      </c>
    </row>
    <row r="76" spans="1:17" ht="67.5" customHeight="1">
      <c r="A76" s="50" t="s">
        <v>56</v>
      </c>
      <c r="B76" s="1" t="s">
        <v>662</v>
      </c>
      <c r="C76" s="1" t="s">
        <v>400</v>
      </c>
      <c r="D76" s="1" t="s">
        <v>702</v>
      </c>
      <c r="E76" s="1" t="s">
        <v>703</v>
      </c>
      <c r="F76" s="2" t="s">
        <v>266</v>
      </c>
      <c r="G76" s="7">
        <v>1000</v>
      </c>
      <c r="H76" s="1" t="s">
        <v>704</v>
      </c>
      <c r="I76" s="1" t="s">
        <v>268</v>
      </c>
      <c r="J76" s="1" t="s">
        <v>705</v>
      </c>
      <c r="K76" s="1" t="s">
        <v>270</v>
      </c>
      <c r="L76" s="3" t="s">
        <v>706</v>
      </c>
      <c r="M76" s="1" t="s">
        <v>707</v>
      </c>
      <c r="N76" s="1" t="s">
        <v>708</v>
      </c>
      <c r="O76" s="1" t="s">
        <v>320</v>
      </c>
      <c r="P76" s="1" t="s">
        <v>709</v>
      </c>
      <c r="Q76" s="4" t="s">
        <v>669</v>
      </c>
    </row>
    <row r="77" spans="1:17" ht="67.5" customHeight="1">
      <c r="A77" s="50" t="s">
        <v>56</v>
      </c>
      <c r="B77" s="1" t="s">
        <v>292</v>
      </c>
      <c r="C77" s="1" t="s">
        <v>443</v>
      </c>
      <c r="D77" s="1" t="s">
        <v>710</v>
      </c>
      <c r="E77" s="1" t="s">
        <v>711</v>
      </c>
      <c r="F77" s="2" t="s">
        <v>296</v>
      </c>
      <c r="G77" s="7"/>
      <c r="H77" s="1"/>
      <c r="I77" s="1" t="s">
        <v>297</v>
      </c>
      <c r="J77" s="1" t="s">
        <v>308</v>
      </c>
      <c r="K77" s="1" t="s">
        <v>298</v>
      </c>
      <c r="L77" s="3" t="s">
        <v>712</v>
      </c>
      <c r="M77" s="1" t="s">
        <v>713</v>
      </c>
      <c r="N77" s="1" t="s">
        <v>714</v>
      </c>
      <c r="O77" s="1" t="s">
        <v>449</v>
      </c>
      <c r="P77" s="1" t="s">
        <v>673</v>
      </c>
      <c r="Q77" s="4" t="s">
        <v>674</v>
      </c>
    </row>
    <row r="78" spans="1:17" ht="67.5" customHeight="1">
      <c r="A78" s="50" t="s">
        <v>56</v>
      </c>
      <c r="B78" s="1" t="s">
        <v>662</v>
      </c>
      <c r="C78" s="1" t="s">
        <v>455</v>
      </c>
      <c r="D78" s="1" t="s">
        <v>715</v>
      </c>
      <c r="E78" s="1" t="s">
        <v>716</v>
      </c>
      <c r="F78" s="2" t="s">
        <v>296</v>
      </c>
      <c r="G78" s="7"/>
      <c r="H78" s="1"/>
      <c r="I78" s="1" t="s">
        <v>297</v>
      </c>
      <c r="J78" s="1" t="s">
        <v>717</v>
      </c>
      <c r="K78" s="1" t="s">
        <v>298</v>
      </c>
      <c r="L78" s="3" t="s">
        <v>718</v>
      </c>
      <c r="M78" s="1" t="s">
        <v>359</v>
      </c>
      <c r="N78" s="1" t="s">
        <v>719</v>
      </c>
      <c r="O78" s="1" t="s">
        <v>449</v>
      </c>
      <c r="P78" s="1" t="s">
        <v>668</v>
      </c>
      <c r="Q78" s="4" t="s">
        <v>669</v>
      </c>
    </row>
    <row r="79" spans="1:17" ht="67.5" customHeight="1">
      <c r="A79" s="50" t="s">
        <v>67</v>
      </c>
      <c r="B79" s="1" t="s">
        <v>262</v>
      </c>
      <c r="C79" s="1" t="s">
        <v>263</v>
      </c>
      <c r="D79" s="1" t="s">
        <v>720</v>
      </c>
      <c r="E79" s="1" t="s">
        <v>721</v>
      </c>
      <c r="F79" s="2" t="s">
        <v>296</v>
      </c>
      <c r="G79" s="7"/>
      <c r="H79" s="1"/>
      <c r="I79" s="1" t="s">
        <v>297</v>
      </c>
      <c r="J79" s="1" t="s">
        <v>308</v>
      </c>
      <c r="K79" s="1" t="s">
        <v>298</v>
      </c>
      <c r="L79" s="3" t="s">
        <v>722</v>
      </c>
      <c r="M79" s="1" t="s">
        <v>272</v>
      </c>
      <c r="N79" s="1" t="s">
        <v>723</v>
      </c>
      <c r="O79" s="1" t="s">
        <v>312</v>
      </c>
      <c r="P79" s="1" t="s">
        <v>724</v>
      </c>
      <c r="Q79" s="4" t="s">
        <v>725</v>
      </c>
    </row>
    <row r="80" spans="1:17" ht="67.5" customHeight="1">
      <c r="A80" s="50" t="s">
        <v>67</v>
      </c>
      <c r="B80" s="1" t="s">
        <v>292</v>
      </c>
      <c r="C80" s="1" t="s">
        <v>293</v>
      </c>
      <c r="D80" s="1" t="s">
        <v>726</v>
      </c>
      <c r="E80" s="1" t="s">
        <v>727</v>
      </c>
      <c r="F80" s="2" t="s">
        <v>296</v>
      </c>
      <c r="G80" s="7"/>
      <c r="H80" s="1"/>
      <c r="I80" s="1" t="s">
        <v>297</v>
      </c>
      <c r="J80" s="1" t="s">
        <v>269</v>
      </c>
      <c r="K80" s="1" t="s">
        <v>298</v>
      </c>
      <c r="L80" s="3" t="s">
        <v>728</v>
      </c>
      <c r="M80" s="1" t="s">
        <v>272</v>
      </c>
      <c r="N80" s="1" t="s">
        <v>729</v>
      </c>
      <c r="O80" s="1" t="s">
        <v>312</v>
      </c>
      <c r="P80" s="1" t="s">
        <v>730</v>
      </c>
      <c r="Q80" s="4" t="s">
        <v>731</v>
      </c>
    </row>
    <row r="81" spans="1:17" ht="67.5" customHeight="1">
      <c r="A81" s="50" t="s">
        <v>67</v>
      </c>
      <c r="B81" s="1" t="s">
        <v>262</v>
      </c>
      <c r="C81" s="1" t="s">
        <v>304</v>
      </c>
      <c r="D81" s="1" t="s">
        <v>732</v>
      </c>
      <c r="E81" s="1" t="s">
        <v>733</v>
      </c>
      <c r="F81" s="2" t="s">
        <v>266</v>
      </c>
      <c r="G81" s="7">
        <v>97656</v>
      </c>
      <c r="H81" s="1" t="s">
        <v>734</v>
      </c>
      <c r="I81" s="1" t="s">
        <v>268</v>
      </c>
      <c r="J81" s="1" t="s">
        <v>308</v>
      </c>
      <c r="K81" s="1" t="s">
        <v>270</v>
      </c>
      <c r="L81" s="3" t="s">
        <v>735</v>
      </c>
      <c r="M81" s="1" t="s">
        <v>310</v>
      </c>
      <c r="N81" s="1" t="s">
        <v>684</v>
      </c>
      <c r="O81" s="1" t="s">
        <v>312</v>
      </c>
      <c r="P81" s="1" t="s">
        <v>730</v>
      </c>
      <c r="Q81" s="4" t="s">
        <v>731</v>
      </c>
    </row>
    <row r="82" spans="1:17" ht="67.5" customHeight="1">
      <c r="A82" s="50" t="s">
        <v>67</v>
      </c>
      <c r="B82" s="1" t="s">
        <v>262</v>
      </c>
      <c r="C82" s="1" t="s">
        <v>304</v>
      </c>
      <c r="D82" s="1" t="s">
        <v>736</v>
      </c>
      <c r="E82" s="1" t="s">
        <v>737</v>
      </c>
      <c r="F82" s="2" t="s">
        <v>296</v>
      </c>
      <c r="G82" s="7">
        <v>305</v>
      </c>
      <c r="H82" s="1" t="s">
        <v>738</v>
      </c>
      <c r="I82" s="1" t="s">
        <v>268</v>
      </c>
      <c r="J82" s="1" t="s">
        <v>739</v>
      </c>
      <c r="K82" s="1" t="s">
        <v>270</v>
      </c>
      <c r="L82" s="3" t="s">
        <v>740</v>
      </c>
      <c r="M82" s="1" t="s">
        <v>741</v>
      </c>
      <c r="N82" s="1" t="s">
        <v>742</v>
      </c>
      <c r="O82" s="1" t="s">
        <v>320</v>
      </c>
      <c r="P82" s="1" t="s">
        <v>730</v>
      </c>
      <c r="Q82" s="4" t="s">
        <v>731</v>
      </c>
    </row>
    <row r="83" spans="1:17" ht="67.5" customHeight="1">
      <c r="A83" s="50" t="s">
        <v>67</v>
      </c>
      <c r="B83" s="1" t="s">
        <v>262</v>
      </c>
      <c r="C83" s="1" t="s">
        <v>304</v>
      </c>
      <c r="D83" s="1" t="s">
        <v>743</v>
      </c>
      <c r="E83" s="1" t="s">
        <v>744</v>
      </c>
      <c r="F83" s="2" t="s">
        <v>296</v>
      </c>
      <c r="G83" s="7">
        <v>1763</v>
      </c>
      <c r="H83" s="1" t="s">
        <v>745</v>
      </c>
      <c r="I83" s="1" t="s">
        <v>268</v>
      </c>
      <c r="J83" s="1" t="s">
        <v>479</v>
      </c>
      <c r="K83" s="1" t="s">
        <v>270</v>
      </c>
      <c r="L83" s="3" t="s">
        <v>746</v>
      </c>
      <c r="M83" s="1" t="s">
        <v>747</v>
      </c>
      <c r="N83" s="1" t="s">
        <v>748</v>
      </c>
      <c r="O83" s="1" t="s">
        <v>320</v>
      </c>
      <c r="P83" s="1" t="s">
        <v>730</v>
      </c>
      <c r="Q83" s="4" t="s">
        <v>731</v>
      </c>
    </row>
    <row r="84" spans="1:17" ht="67.5" customHeight="1">
      <c r="A84" s="50" t="s">
        <v>67</v>
      </c>
      <c r="B84" s="1" t="s">
        <v>262</v>
      </c>
      <c r="C84" s="1" t="s">
        <v>330</v>
      </c>
      <c r="D84" s="1" t="s">
        <v>749</v>
      </c>
      <c r="E84" s="1" t="s">
        <v>750</v>
      </c>
      <c r="F84" s="2" t="s">
        <v>266</v>
      </c>
      <c r="G84" s="7">
        <v>5641.7</v>
      </c>
      <c r="H84" s="1" t="s">
        <v>751</v>
      </c>
      <c r="I84" s="1" t="s">
        <v>268</v>
      </c>
      <c r="J84" s="1" t="s">
        <v>333</v>
      </c>
      <c r="K84" s="1" t="s">
        <v>270</v>
      </c>
      <c r="L84" s="3" t="s">
        <v>752</v>
      </c>
      <c r="M84" s="1" t="s">
        <v>481</v>
      </c>
      <c r="N84" s="1" t="s">
        <v>753</v>
      </c>
      <c r="O84" s="1" t="s">
        <v>312</v>
      </c>
      <c r="P84" s="1" t="s">
        <v>730</v>
      </c>
      <c r="Q84" s="4" t="s">
        <v>731</v>
      </c>
    </row>
    <row r="85" spans="1:17" ht="67.5" customHeight="1">
      <c r="A85" s="50" t="s">
        <v>67</v>
      </c>
      <c r="B85" s="1" t="s">
        <v>262</v>
      </c>
      <c r="C85" s="1" t="s">
        <v>345</v>
      </c>
      <c r="D85" s="1" t="s">
        <v>754</v>
      </c>
      <c r="E85" s="1" t="s">
        <v>755</v>
      </c>
      <c r="F85" s="2" t="s">
        <v>266</v>
      </c>
      <c r="G85" s="7">
        <v>3818</v>
      </c>
      <c r="H85" s="1" t="s">
        <v>756</v>
      </c>
      <c r="I85" s="1" t="s">
        <v>268</v>
      </c>
      <c r="J85" s="1" t="s">
        <v>316</v>
      </c>
      <c r="K85" s="1" t="s">
        <v>270</v>
      </c>
      <c r="L85" s="3" t="s">
        <v>757</v>
      </c>
      <c r="M85" s="1" t="s">
        <v>758</v>
      </c>
      <c r="N85" s="1" t="s">
        <v>759</v>
      </c>
      <c r="O85" s="1" t="s">
        <v>354</v>
      </c>
      <c r="P85" s="1" t="s">
        <v>730</v>
      </c>
      <c r="Q85" s="4" t="s">
        <v>731</v>
      </c>
    </row>
    <row r="86" spans="1:17" ht="67.5" customHeight="1">
      <c r="A86" s="50" t="s">
        <v>67</v>
      </c>
      <c r="B86" s="1" t="s">
        <v>426</v>
      </c>
      <c r="C86" s="1" t="s">
        <v>400</v>
      </c>
      <c r="D86" s="1" t="s">
        <v>760</v>
      </c>
      <c r="E86" s="1" t="s">
        <v>761</v>
      </c>
      <c r="F86" s="2" t="s">
        <v>266</v>
      </c>
      <c r="G86" s="7">
        <v>3879</v>
      </c>
      <c r="H86" s="1" t="s">
        <v>762</v>
      </c>
      <c r="I86" s="1" t="s">
        <v>268</v>
      </c>
      <c r="J86" s="1" t="s">
        <v>404</v>
      </c>
      <c r="K86" s="1" t="s">
        <v>270</v>
      </c>
      <c r="L86" s="3" t="s">
        <v>763</v>
      </c>
      <c r="M86" s="1" t="s">
        <v>406</v>
      </c>
      <c r="N86" s="1" t="s">
        <v>420</v>
      </c>
      <c r="O86" s="1" t="s">
        <v>320</v>
      </c>
      <c r="P86" s="1" t="s">
        <v>730</v>
      </c>
      <c r="Q86" s="4" t="s">
        <v>731</v>
      </c>
    </row>
    <row r="87" spans="1:17" ht="67.5" customHeight="1">
      <c r="A87" s="50" t="s">
        <v>67</v>
      </c>
      <c r="B87" s="1" t="s">
        <v>262</v>
      </c>
      <c r="C87" s="1" t="s">
        <v>400</v>
      </c>
      <c r="D87" s="1" t="s">
        <v>764</v>
      </c>
      <c r="E87" s="1" t="s">
        <v>765</v>
      </c>
      <c r="F87" s="2" t="s">
        <v>296</v>
      </c>
      <c r="G87" s="7">
        <v>84</v>
      </c>
      <c r="H87" s="1" t="s">
        <v>766</v>
      </c>
      <c r="I87" s="1" t="s">
        <v>268</v>
      </c>
      <c r="J87" s="1" t="s">
        <v>404</v>
      </c>
      <c r="K87" s="1" t="s">
        <v>270</v>
      </c>
      <c r="L87" s="3" t="s">
        <v>767</v>
      </c>
      <c r="M87" s="1" t="s">
        <v>406</v>
      </c>
      <c r="N87" s="1" t="s">
        <v>768</v>
      </c>
      <c r="O87" s="1" t="s">
        <v>320</v>
      </c>
      <c r="P87" s="1" t="s">
        <v>730</v>
      </c>
      <c r="Q87" s="4" t="s">
        <v>731</v>
      </c>
    </row>
    <row r="88" spans="1:17" ht="67.5" customHeight="1">
      <c r="A88" s="50" t="s">
        <v>67</v>
      </c>
      <c r="B88" s="1" t="s">
        <v>292</v>
      </c>
      <c r="C88" s="1" t="s">
        <v>443</v>
      </c>
      <c r="D88" s="1" t="s">
        <v>732</v>
      </c>
      <c r="E88" s="1" t="s">
        <v>769</v>
      </c>
      <c r="F88" s="2" t="s">
        <v>296</v>
      </c>
      <c r="G88" s="7"/>
      <c r="H88" s="1"/>
      <c r="I88" s="1" t="s">
        <v>297</v>
      </c>
      <c r="J88" s="1" t="s">
        <v>308</v>
      </c>
      <c r="K88" s="1" t="s">
        <v>298</v>
      </c>
      <c r="L88" s="3" t="s">
        <v>770</v>
      </c>
      <c r="M88" s="1" t="s">
        <v>713</v>
      </c>
      <c r="N88" s="1" t="s">
        <v>771</v>
      </c>
      <c r="O88" s="1" t="s">
        <v>449</v>
      </c>
      <c r="P88" s="1" t="s">
        <v>772</v>
      </c>
      <c r="Q88" s="4" t="s">
        <v>731</v>
      </c>
    </row>
    <row r="89" spans="1:17" ht="67.5" customHeight="1">
      <c r="A89" s="50" t="s">
        <v>67</v>
      </c>
      <c r="B89" s="1" t="s">
        <v>292</v>
      </c>
      <c r="C89" s="1" t="s">
        <v>455</v>
      </c>
      <c r="D89" s="1" t="s">
        <v>773</v>
      </c>
      <c r="E89" s="1" t="s">
        <v>774</v>
      </c>
      <c r="F89" s="2" t="s">
        <v>266</v>
      </c>
      <c r="G89" s="7"/>
      <c r="H89" s="1"/>
      <c r="I89" s="1" t="s">
        <v>297</v>
      </c>
      <c r="J89" s="1" t="s">
        <v>316</v>
      </c>
      <c r="K89" s="1" t="s">
        <v>298</v>
      </c>
      <c r="L89" s="3" t="s">
        <v>775</v>
      </c>
      <c r="M89" s="1" t="s">
        <v>776</v>
      </c>
      <c r="N89" s="1" t="s">
        <v>777</v>
      </c>
      <c r="O89" s="1" t="s">
        <v>449</v>
      </c>
      <c r="P89" s="1" t="s">
        <v>730</v>
      </c>
      <c r="Q89" s="4" t="s">
        <v>731</v>
      </c>
    </row>
    <row r="90" spans="1:17" ht="67.5" customHeight="1">
      <c r="A90" s="50" t="s">
        <v>67</v>
      </c>
      <c r="B90" s="1" t="s">
        <v>292</v>
      </c>
      <c r="C90" s="1" t="s">
        <v>455</v>
      </c>
      <c r="D90" s="1" t="s">
        <v>778</v>
      </c>
      <c r="E90" s="1" t="s">
        <v>779</v>
      </c>
      <c r="F90" s="2" t="s">
        <v>296</v>
      </c>
      <c r="G90" s="7"/>
      <c r="H90" s="1"/>
      <c r="I90" s="1" t="s">
        <v>297</v>
      </c>
      <c r="J90" s="1" t="s">
        <v>316</v>
      </c>
      <c r="K90" s="1" t="s">
        <v>298</v>
      </c>
      <c r="L90" s="3" t="s">
        <v>780</v>
      </c>
      <c r="M90" s="1" t="s">
        <v>460</v>
      </c>
      <c r="N90" s="1" t="s">
        <v>781</v>
      </c>
      <c r="O90" s="1" t="s">
        <v>449</v>
      </c>
      <c r="P90" s="1" t="s">
        <v>782</v>
      </c>
      <c r="Q90" s="4" t="s">
        <v>731</v>
      </c>
    </row>
    <row r="91" spans="1:17" ht="67.5" customHeight="1">
      <c r="A91" s="50" t="s">
        <v>78</v>
      </c>
      <c r="B91" s="1" t="s">
        <v>292</v>
      </c>
      <c r="C91" s="1" t="s">
        <v>263</v>
      </c>
      <c r="D91" s="1" t="s">
        <v>783</v>
      </c>
      <c r="E91" s="1" t="s">
        <v>784</v>
      </c>
      <c r="F91" s="2" t="s">
        <v>266</v>
      </c>
      <c r="G91" s="7"/>
      <c r="H91" s="1"/>
      <c r="I91" s="1" t="s">
        <v>297</v>
      </c>
      <c r="J91" s="1" t="s">
        <v>308</v>
      </c>
      <c r="K91" s="1" t="s">
        <v>298</v>
      </c>
      <c r="L91" s="3" t="s">
        <v>785</v>
      </c>
      <c r="M91" s="1" t="s">
        <v>481</v>
      </c>
      <c r="N91" s="1" t="s">
        <v>786</v>
      </c>
      <c r="O91" s="1" t="s">
        <v>312</v>
      </c>
      <c r="P91" s="1" t="s">
        <v>787</v>
      </c>
      <c r="Q91" s="4" t="s">
        <v>788</v>
      </c>
    </row>
    <row r="92" spans="1:17" ht="67.5" customHeight="1">
      <c r="A92" s="50" t="s">
        <v>78</v>
      </c>
      <c r="B92" s="1" t="s">
        <v>292</v>
      </c>
      <c r="C92" s="1" t="s">
        <v>293</v>
      </c>
      <c r="D92" s="1" t="s">
        <v>789</v>
      </c>
      <c r="E92" s="1" t="s">
        <v>790</v>
      </c>
      <c r="F92" s="2" t="s">
        <v>296</v>
      </c>
      <c r="G92" s="7"/>
      <c r="H92" s="1"/>
      <c r="I92" s="1" t="s">
        <v>297</v>
      </c>
      <c r="J92" s="1" t="s">
        <v>269</v>
      </c>
      <c r="K92" s="1" t="s">
        <v>298</v>
      </c>
      <c r="L92" s="3" t="s">
        <v>791</v>
      </c>
      <c r="M92" s="1" t="s">
        <v>272</v>
      </c>
      <c r="N92" s="1" t="s">
        <v>273</v>
      </c>
      <c r="O92" s="1" t="s">
        <v>274</v>
      </c>
      <c r="P92" s="1" t="s">
        <v>787</v>
      </c>
      <c r="Q92" s="4" t="s">
        <v>788</v>
      </c>
    </row>
    <row r="93" spans="1:17" ht="67.5" customHeight="1">
      <c r="A93" s="50" t="s">
        <v>78</v>
      </c>
      <c r="B93" s="1" t="s">
        <v>292</v>
      </c>
      <c r="C93" s="1" t="s">
        <v>304</v>
      </c>
      <c r="D93" s="1" t="s">
        <v>792</v>
      </c>
      <c r="E93" s="1" t="s">
        <v>793</v>
      </c>
      <c r="F93" s="2" t="s">
        <v>266</v>
      </c>
      <c r="G93" s="7"/>
      <c r="H93" s="1"/>
      <c r="I93" s="1" t="s">
        <v>297</v>
      </c>
      <c r="J93" s="1" t="s">
        <v>269</v>
      </c>
      <c r="K93" s="1" t="s">
        <v>298</v>
      </c>
      <c r="L93" s="3" t="s">
        <v>794</v>
      </c>
      <c r="M93" s="1" t="s">
        <v>272</v>
      </c>
      <c r="N93" s="1" t="s">
        <v>795</v>
      </c>
      <c r="O93" s="1" t="s">
        <v>312</v>
      </c>
      <c r="P93" s="1" t="s">
        <v>787</v>
      </c>
      <c r="Q93" s="4" t="s">
        <v>788</v>
      </c>
    </row>
    <row r="94" spans="1:17" ht="67.5" customHeight="1">
      <c r="A94" s="50" t="s">
        <v>78</v>
      </c>
      <c r="B94" s="1" t="s">
        <v>292</v>
      </c>
      <c r="C94" s="1" t="s">
        <v>330</v>
      </c>
      <c r="D94" s="1" t="s">
        <v>796</v>
      </c>
      <c r="E94" s="1" t="s">
        <v>797</v>
      </c>
      <c r="F94" s="2" t="s">
        <v>266</v>
      </c>
      <c r="G94" s="7">
        <v>85</v>
      </c>
      <c r="H94" s="1" t="s">
        <v>798</v>
      </c>
      <c r="I94" s="1" t="s">
        <v>268</v>
      </c>
      <c r="J94" s="1" t="s">
        <v>333</v>
      </c>
      <c r="K94" s="1" t="s">
        <v>270</v>
      </c>
      <c r="L94" s="3" t="s">
        <v>799</v>
      </c>
      <c r="M94" s="1" t="s">
        <v>636</v>
      </c>
      <c r="N94" s="1" t="s">
        <v>800</v>
      </c>
      <c r="O94" s="1" t="s">
        <v>312</v>
      </c>
      <c r="P94" s="1" t="s">
        <v>787</v>
      </c>
      <c r="Q94" s="4" t="s">
        <v>788</v>
      </c>
    </row>
    <row r="95" spans="1:17" ht="67.5" customHeight="1">
      <c r="A95" s="50" t="s">
        <v>78</v>
      </c>
      <c r="B95" s="1" t="s">
        <v>801</v>
      </c>
      <c r="C95" s="1" t="s">
        <v>345</v>
      </c>
      <c r="D95" s="1" t="s">
        <v>802</v>
      </c>
      <c r="E95" s="1" t="s">
        <v>803</v>
      </c>
      <c r="F95" s="2" t="s">
        <v>266</v>
      </c>
      <c r="G95" s="7"/>
      <c r="H95" s="1"/>
      <c r="I95" s="1" t="s">
        <v>363</v>
      </c>
      <c r="J95" s="1" t="s">
        <v>373</v>
      </c>
      <c r="K95" s="1" t="s">
        <v>298</v>
      </c>
      <c r="L95" s="3" t="s">
        <v>804</v>
      </c>
      <c r="M95" s="1" t="s">
        <v>805</v>
      </c>
      <c r="N95" s="1" t="s">
        <v>806</v>
      </c>
      <c r="O95" s="1" t="s">
        <v>366</v>
      </c>
      <c r="P95" s="1" t="s">
        <v>807</v>
      </c>
      <c r="Q95" s="4" t="s">
        <v>808</v>
      </c>
    </row>
    <row r="96" spans="1:17" ht="67.5" customHeight="1">
      <c r="A96" s="50" t="s">
        <v>78</v>
      </c>
      <c r="B96" s="1" t="s">
        <v>809</v>
      </c>
      <c r="C96" s="1" t="s">
        <v>345</v>
      </c>
      <c r="D96" s="1" t="s">
        <v>810</v>
      </c>
      <c r="E96" s="1" t="s">
        <v>811</v>
      </c>
      <c r="F96" s="2" t="s">
        <v>296</v>
      </c>
      <c r="G96" s="7"/>
      <c r="H96" s="1"/>
      <c r="I96" s="1" t="s">
        <v>297</v>
      </c>
      <c r="J96" s="1" t="s">
        <v>812</v>
      </c>
      <c r="K96" s="1" t="s">
        <v>298</v>
      </c>
      <c r="L96" s="3" t="s">
        <v>813</v>
      </c>
      <c r="M96" s="1" t="s">
        <v>814</v>
      </c>
      <c r="N96" s="1" t="s">
        <v>815</v>
      </c>
      <c r="O96" s="1" t="s">
        <v>366</v>
      </c>
      <c r="P96" s="1" t="s">
        <v>816</v>
      </c>
      <c r="Q96" s="4" t="s">
        <v>788</v>
      </c>
    </row>
    <row r="97" spans="1:17" ht="67.5" customHeight="1">
      <c r="A97" s="50" t="s">
        <v>78</v>
      </c>
      <c r="B97" s="1" t="s">
        <v>292</v>
      </c>
      <c r="C97" s="1" t="s">
        <v>400</v>
      </c>
      <c r="D97" s="1" t="s">
        <v>817</v>
      </c>
      <c r="E97" s="1" t="s">
        <v>818</v>
      </c>
      <c r="F97" s="2" t="s">
        <v>266</v>
      </c>
      <c r="G97" s="7">
        <v>80</v>
      </c>
      <c r="H97" s="1" t="s">
        <v>819</v>
      </c>
      <c r="I97" s="1" t="s">
        <v>268</v>
      </c>
      <c r="J97" s="1" t="s">
        <v>412</v>
      </c>
      <c r="K97" s="1" t="s">
        <v>270</v>
      </c>
      <c r="L97" s="3" t="s">
        <v>820</v>
      </c>
      <c r="M97" s="1" t="s">
        <v>590</v>
      </c>
      <c r="N97" s="1" t="s">
        <v>647</v>
      </c>
      <c r="O97" s="1" t="s">
        <v>320</v>
      </c>
      <c r="P97" s="1" t="s">
        <v>787</v>
      </c>
      <c r="Q97" s="4" t="s">
        <v>788</v>
      </c>
    </row>
    <row r="98" spans="1:17" ht="67.5" customHeight="1">
      <c r="A98" s="50" t="s">
        <v>78</v>
      </c>
      <c r="B98" s="1" t="s">
        <v>292</v>
      </c>
      <c r="C98" s="1" t="s">
        <v>443</v>
      </c>
      <c r="D98" s="1" t="s">
        <v>821</v>
      </c>
      <c r="E98" s="1" t="s">
        <v>822</v>
      </c>
      <c r="F98" s="2" t="s">
        <v>296</v>
      </c>
      <c r="G98" s="7"/>
      <c r="H98" s="1"/>
      <c r="I98" s="1" t="s">
        <v>297</v>
      </c>
      <c r="J98" s="1" t="s">
        <v>308</v>
      </c>
      <c r="K98" s="1" t="s">
        <v>298</v>
      </c>
      <c r="L98" s="3" t="s">
        <v>823</v>
      </c>
      <c r="M98" s="1" t="s">
        <v>713</v>
      </c>
      <c r="N98" s="1" t="s">
        <v>824</v>
      </c>
      <c r="O98" s="1" t="s">
        <v>449</v>
      </c>
      <c r="P98" s="1" t="s">
        <v>787</v>
      </c>
      <c r="Q98" s="4" t="s">
        <v>788</v>
      </c>
    </row>
    <row r="99" spans="1:17" ht="67.5" customHeight="1">
      <c r="A99" s="50" t="s">
        <v>78</v>
      </c>
      <c r="B99" s="1" t="s">
        <v>277</v>
      </c>
      <c r="C99" s="1" t="s">
        <v>455</v>
      </c>
      <c r="D99" s="1" t="s">
        <v>825</v>
      </c>
      <c r="E99" s="1" t="s">
        <v>826</v>
      </c>
      <c r="F99" s="2" t="s">
        <v>280</v>
      </c>
      <c r="G99" s="7"/>
      <c r="H99" s="1"/>
      <c r="I99" s="1" t="s">
        <v>281</v>
      </c>
      <c r="J99" s="1" t="s">
        <v>308</v>
      </c>
      <c r="K99" s="1" t="s">
        <v>280</v>
      </c>
      <c r="L99" s="3" t="s">
        <v>827</v>
      </c>
      <c r="M99" s="1" t="s">
        <v>466</v>
      </c>
      <c r="N99" s="1" t="s">
        <v>583</v>
      </c>
      <c r="O99" s="1" t="s">
        <v>449</v>
      </c>
      <c r="P99" s="1" t="s">
        <v>284</v>
      </c>
      <c r="Q99" s="4" t="s">
        <v>788</v>
      </c>
    </row>
    <row r="100" spans="1:17" ht="67.5" customHeight="1">
      <c r="A100" s="50" t="s">
        <v>78</v>
      </c>
      <c r="B100" s="1" t="s">
        <v>828</v>
      </c>
      <c r="C100" s="1" t="s">
        <v>455</v>
      </c>
      <c r="D100" s="1" t="s">
        <v>829</v>
      </c>
      <c r="E100" s="1" t="s">
        <v>830</v>
      </c>
      <c r="F100" s="2" t="s">
        <v>397</v>
      </c>
      <c r="G100" s="7">
        <v>40</v>
      </c>
      <c r="H100" s="1" t="s">
        <v>831</v>
      </c>
      <c r="I100" s="1" t="s">
        <v>363</v>
      </c>
      <c r="J100" s="1" t="s">
        <v>832</v>
      </c>
      <c r="K100" s="1" t="s">
        <v>270</v>
      </c>
      <c r="L100" s="3" t="s">
        <v>833</v>
      </c>
      <c r="M100" s="1" t="s">
        <v>758</v>
      </c>
      <c r="N100" s="1" t="s">
        <v>834</v>
      </c>
      <c r="O100" s="1" t="s">
        <v>354</v>
      </c>
      <c r="P100" s="1" t="s">
        <v>835</v>
      </c>
      <c r="Q100" s="4" t="s">
        <v>836</v>
      </c>
    </row>
    <row r="101" spans="1:17" ht="67.5" customHeight="1">
      <c r="A101" s="50" t="s">
        <v>89</v>
      </c>
      <c r="B101" s="1" t="s">
        <v>277</v>
      </c>
      <c r="C101" s="1" t="s">
        <v>263</v>
      </c>
      <c r="D101" s="1" t="s">
        <v>837</v>
      </c>
      <c r="E101" s="1" t="s">
        <v>838</v>
      </c>
      <c r="F101" s="2" t="s">
        <v>280</v>
      </c>
      <c r="G101" s="7"/>
      <c r="H101" s="1"/>
      <c r="I101" s="1" t="s">
        <v>281</v>
      </c>
      <c r="J101" s="1" t="s">
        <v>269</v>
      </c>
      <c r="K101" s="1" t="s">
        <v>280</v>
      </c>
      <c r="L101" s="3" t="s">
        <v>839</v>
      </c>
      <c r="M101" s="1" t="s">
        <v>283</v>
      </c>
      <c r="N101" s="1" t="s">
        <v>273</v>
      </c>
      <c r="O101" s="1" t="s">
        <v>290</v>
      </c>
      <c r="P101" s="1" t="s">
        <v>284</v>
      </c>
      <c r="Q101" s="4" t="s">
        <v>840</v>
      </c>
    </row>
    <row r="102" spans="1:17" ht="67.5" customHeight="1">
      <c r="A102" s="50" t="s">
        <v>89</v>
      </c>
      <c r="B102" s="1" t="s">
        <v>277</v>
      </c>
      <c r="C102" s="1" t="s">
        <v>293</v>
      </c>
      <c r="D102" s="1" t="s">
        <v>841</v>
      </c>
      <c r="E102" s="1" t="s">
        <v>842</v>
      </c>
      <c r="F102" s="2" t="s">
        <v>280</v>
      </c>
      <c r="G102" s="7"/>
      <c r="H102" s="1"/>
      <c r="I102" s="1" t="s">
        <v>281</v>
      </c>
      <c r="J102" s="1" t="s">
        <v>269</v>
      </c>
      <c r="K102" s="1" t="s">
        <v>280</v>
      </c>
      <c r="L102" s="3" t="s">
        <v>843</v>
      </c>
      <c r="M102" s="1" t="s">
        <v>283</v>
      </c>
      <c r="N102" s="1" t="s">
        <v>273</v>
      </c>
      <c r="O102" s="1" t="s">
        <v>290</v>
      </c>
      <c r="P102" s="1" t="s">
        <v>284</v>
      </c>
      <c r="Q102" s="4" t="s">
        <v>840</v>
      </c>
    </row>
    <row r="103" spans="1:17" ht="67.5" customHeight="1">
      <c r="A103" s="50" t="s">
        <v>89</v>
      </c>
      <c r="B103" s="1" t="s">
        <v>292</v>
      </c>
      <c r="C103" s="1" t="s">
        <v>304</v>
      </c>
      <c r="D103" s="1" t="s">
        <v>844</v>
      </c>
      <c r="E103" s="1" t="s">
        <v>845</v>
      </c>
      <c r="F103" s="2" t="s">
        <v>296</v>
      </c>
      <c r="G103" s="7"/>
      <c r="H103" s="1"/>
      <c r="I103" s="1" t="s">
        <v>297</v>
      </c>
      <c r="J103" s="1" t="s">
        <v>308</v>
      </c>
      <c r="K103" s="1" t="s">
        <v>298</v>
      </c>
      <c r="L103" s="3" t="s">
        <v>846</v>
      </c>
      <c r="M103" s="1" t="s">
        <v>466</v>
      </c>
      <c r="N103" s="1" t="s">
        <v>847</v>
      </c>
      <c r="O103" s="1" t="s">
        <v>312</v>
      </c>
      <c r="P103" s="1" t="s">
        <v>848</v>
      </c>
      <c r="Q103" s="4" t="s">
        <v>840</v>
      </c>
    </row>
    <row r="104" spans="1:17" ht="67.5" customHeight="1">
      <c r="A104" s="50" t="s">
        <v>89</v>
      </c>
      <c r="B104" s="1" t="s">
        <v>849</v>
      </c>
      <c r="C104" s="1" t="s">
        <v>330</v>
      </c>
      <c r="D104" s="1" t="s">
        <v>850</v>
      </c>
      <c r="E104" s="1" t="s">
        <v>851</v>
      </c>
      <c r="F104" s="2" t="s">
        <v>266</v>
      </c>
      <c r="G104" s="7"/>
      <c r="H104" s="1"/>
      <c r="I104" s="1" t="s">
        <v>297</v>
      </c>
      <c r="J104" s="1" t="s">
        <v>316</v>
      </c>
      <c r="K104" s="1" t="s">
        <v>298</v>
      </c>
      <c r="L104" s="3" t="s">
        <v>852</v>
      </c>
      <c r="M104" s="1" t="s">
        <v>335</v>
      </c>
      <c r="N104" s="1" t="s">
        <v>853</v>
      </c>
      <c r="O104" s="1" t="s">
        <v>449</v>
      </c>
      <c r="P104" s="1" t="s">
        <v>848</v>
      </c>
      <c r="Q104" s="4" t="s">
        <v>840</v>
      </c>
    </row>
    <row r="105" spans="1:17" ht="67.5" customHeight="1">
      <c r="A105" s="50" t="s">
        <v>89</v>
      </c>
      <c r="B105" s="1" t="s">
        <v>854</v>
      </c>
      <c r="C105" s="1" t="s">
        <v>345</v>
      </c>
      <c r="D105" s="1" t="s">
        <v>855</v>
      </c>
      <c r="E105" s="1" t="s">
        <v>856</v>
      </c>
      <c r="F105" s="2" t="s">
        <v>266</v>
      </c>
      <c r="G105" s="7">
        <v>12000</v>
      </c>
      <c r="H105" s="1" t="s">
        <v>857</v>
      </c>
      <c r="I105" s="1" t="s">
        <v>268</v>
      </c>
      <c r="J105" s="1" t="s">
        <v>308</v>
      </c>
      <c r="K105" s="1" t="s">
        <v>270</v>
      </c>
      <c r="L105" s="3" t="s">
        <v>858</v>
      </c>
      <c r="M105" s="1" t="s">
        <v>859</v>
      </c>
      <c r="N105" s="1" t="s">
        <v>860</v>
      </c>
      <c r="O105" s="1" t="s">
        <v>312</v>
      </c>
      <c r="P105" s="1" t="s">
        <v>848</v>
      </c>
      <c r="Q105" s="4" t="s">
        <v>840</v>
      </c>
    </row>
    <row r="106" spans="1:17" ht="67.5" customHeight="1">
      <c r="A106" s="50" t="s">
        <v>89</v>
      </c>
      <c r="B106" s="1" t="s">
        <v>262</v>
      </c>
      <c r="C106" s="1" t="s">
        <v>345</v>
      </c>
      <c r="D106" s="1" t="s">
        <v>861</v>
      </c>
      <c r="E106" s="1" t="s">
        <v>862</v>
      </c>
      <c r="F106" s="2" t="s">
        <v>296</v>
      </c>
      <c r="G106" s="7">
        <v>151</v>
      </c>
      <c r="H106" s="1" t="s">
        <v>863</v>
      </c>
      <c r="I106" s="1" t="s">
        <v>363</v>
      </c>
      <c r="J106" s="1" t="s">
        <v>373</v>
      </c>
      <c r="K106" s="1" t="s">
        <v>270</v>
      </c>
      <c r="L106" s="3" t="s">
        <v>864</v>
      </c>
      <c r="M106" s="1" t="s">
        <v>805</v>
      </c>
      <c r="N106" s="1" t="s">
        <v>865</v>
      </c>
      <c r="O106" s="1" t="s">
        <v>366</v>
      </c>
      <c r="P106" s="1" t="s">
        <v>866</v>
      </c>
      <c r="Q106" s="4" t="s">
        <v>867</v>
      </c>
    </row>
    <row r="107" spans="1:17" ht="67.5" customHeight="1">
      <c r="A107" s="50" t="s">
        <v>89</v>
      </c>
      <c r="B107" s="1" t="s">
        <v>262</v>
      </c>
      <c r="C107" s="1" t="s">
        <v>345</v>
      </c>
      <c r="D107" s="1" t="s">
        <v>868</v>
      </c>
      <c r="E107" s="1" t="s">
        <v>869</v>
      </c>
      <c r="F107" s="2" t="s">
        <v>296</v>
      </c>
      <c r="G107" s="7">
        <v>24.6</v>
      </c>
      <c r="H107" s="1" t="s">
        <v>870</v>
      </c>
      <c r="I107" s="1" t="s">
        <v>363</v>
      </c>
      <c r="J107" s="1" t="s">
        <v>373</v>
      </c>
      <c r="K107" s="1" t="s">
        <v>871</v>
      </c>
      <c r="L107" s="3" t="s">
        <v>872</v>
      </c>
      <c r="M107" s="1" t="s">
        <v>873</v>
      </c>
      <c r="N107" s="1" t="s">
        <v>874</v>
      </c>
      <c r="O107" s="1" t="s">
        <v>366</v>
      </c>
      <c r="P107" s="1" t="s">
        <v>866</v>
      </c>
      <c r="Q107" s="4" t="s">
        <v>867</v>
      </c>
    </row>
    <row r="108" spans="1:17" ht="67.5" customHeight="1">
      <c r="A108" s="50" t="s">
        <v>89</v>
      </c>
      <c r="B108" s="1" t="s">
        <v>875</v>
      </c>
      <c r="C108" s="1" t="s">
        <v>400</v>
      </c>
      <c r="D108" s="1" t="s">
        <v>876</v>
      </c>
      <c r="E108" s="1" t="s">
        <v>877</v>
      </c>
      <c r="F108" s="2" t="s">
        <v>266</v>
      </c>
      <c r="G108" s="7">
        <v>98</v>
      </c>
      <c r="H108" s="1" t="s">
        <v>878</v>
      </c>
      <c r="I108" s="1" t="s">
        <v>268</v>
      </c>
      <c r="J108" s="1" t="s">
        <v>412</v>
      </c>
      <c r="K108" s="1" t="s">
        <v>270</v>
      </c>
      <c r="L108" s="3" t="s">
        <v>879</v>
      </c>
      <c r="M108" s="1" t="s">
        <v>590</v>
      </c>
      <c r="N108" s="1" t="s">
        <v>647</v>
      </c>
      <c r="O108" s="1" t="s">
        <v>320</v>
      </c>
      <c r="P108" s="1" t="s">
        <v>880</v>
      </c>
      <c r="Q108" s="4" t="s">
        <v>881</v>
      </c>
    </row>
    <row r="109" spans="1:17" ht="67.5" customHeight="1">
      <c r="A109" s="50" t="s">
        <v>89</v>
      </c>
      <c r="B109" s="1" t="s">
        <v>292</v>
      </c>
      <c r="C109" s="1" t="s">
        <v>400</v>
      </c>
      <c r="D109" s="1" t="s">
        <v>882</v>
      </c>
      <c r="E109" s="1" t="s">
        <v>883</v>
      </c>
      <c r="F109" s="2" t="s">
        <v>296</v>
      </c>
      <c r="G109" s="7">
        <v>11</v>
      </c>
      <c r="H109" s="1" t="s">
        <v>884</v>
      </c>
      <c r="I109" s="1" t="s">
        <v>268</v>
      </c>
      <c r="J109" s="1" t="s">
        <v>412</v>
      </c>
      <c r="K109" s="1" t="s">
        <v>270</v>
      </c>
      <c r="L109" s="3" t="s">
        <v>885</v>
      </c>
      <c r="M109" s="1" t="s">
        <v>431</v>
      </c>
      <c r="N109" s="1" t="s">
        <v>886</v>
      </c>
      <c r="O109" s="1" t="s">
        <v>312</v>
      </c>
      <c r="P109" s="1" t="s">
        <v>848</v>
      </c>
      <c r="Q109" s="4" t="s">
        <v>840</v>
      </c>
    </row>
    <row r="110" spans="1:17" ht="67.5" customHeight="1">
      <c r="A110" s="50" t="s">
        <v>89</v>
      </c>
      <c r="B110" s="1" t="s">
        <v>292</v>
      </c>
      <c r="C110" s="1" t="s">
        <v>443</v>
      </c>
      <c r="D110" s="1" t="s">
        <v>778</v>
      </c>
      <c r="E110" s="1" t="s">
        <v>887</v>
      </c>
      <c r="F110" s="2" t="s">
        <v>266</v>
      </c>
      <c r="G110" s="7"/>
      <c r="H110" s="1"/>
      <c r="I110" s="1" t="s">
        <v>297</v>
      </c>
      <c r="J110" s="1" t="s">
        <v>308</v>
      </c>
      <c r="K110" s="1" t="s">
        <v>298</v>
      </c>
      <c r="L110" s="3" t="s">
        <v>888</v>
      </c>
      <c r="M110" s="1" t="s">
        <v>889</v>
      </c>
      <c r="N110" s="1" t="s">
        <v>890</v>
      </c>
      <c r="O110" s="1" t="s">
        <v>449</v>
      </c>
      <c r="P110" s="1" t="s">
        <v>848</v>
      </c>
      <c r="Q110" s="4" t="s">
        <v>840</v>
      </c>
    </row>
    <row r="111" spans="1:17" ht="67.5" customHeight="1">
      <c r="A111" s="50" t="s">
        <v>89</v>
      </c>
      <c r="B111" s="1" t="s">
        <v>292</v>
      </c>
      <c r="C111" s="1" t="s">
        <v>455</v>
      </c>
      <c r="D111" s="1" t="s">
        <v>783</v>
      </c>
      <c r="E111" s="1" t="s">
        <v>891</v>
      </c>
      <c r="F111" s="2" t="s">
        <v>266</v>
      </c>
      <c r="G111" s="7"/>
      <c r="H111" s="1"/>
      <c r="I111" s="1" t="s">
        <v>297</v>
      </c>
      <c r="J111" s="1" t="s">
        <v>316</v>
      </c>
      <c r="K111" s="1" t="s">
        <v>298</v>
      </c>
      <c r="L111" s="3" t="s">
        <v>892</v>
      </c>
      <c r="M111" s="1" t="s">
        <v>893</v>
      </c>
      <c r="N111" s="1" t="s">
        <v>894</v>
      </c>
      <c r="O111" s="1" t="s">
        <v>449</v>
      </c>
      <c r="P111" s="1" t="s">
        <v>895</v>
      </c>
      <c r="Q111" s="4" t="s">
        <v>896</v>
      </c>
    </row>
    <row r="112" spans="1:17" ht="67.5" customHeight="1">
      <c r="A112" s="50" t="s">
        <v>100</v>
      </c>
      <c r="B112" s="1" t="s">
        <v>426</v>
      </c>
      <c r="C112" s="1" t="s">
        <v>263</v>
      </c>
      <c r="D112" s="1" t="s">
        <v>789</v>
      </c>
      <c r="E112" s="1" t="s">
        <v>897</v>
      </c>
      <c r="F112" s="2" t="s">
        <v>266</v>
      </c>
      <c r="G112" s="7">
        <v>2.81</v>
      </c>
      <c r="H112" s="1" t="s">
        <v>898</v>
      </c>
      <c r="I112" s="1" t="s">
        <v>268</v>
      </c>
      <c r="J112" s="1" t="s">
        <v>269</v>
      </c>
      <c r="K112" s="1" t="s">
        <v>350</v>
      </c>
      <c r="L112" s="3" t="s">
        <v>899</v>
      </c>
      <c r="M112" s="1" t="s">
        <v>310</v>
      </c>
      <c r="N112" s="1" t="s">
        <v>900</v>
      </c>
      <c r="O112" s="1" t="s">
        <v>290</v>
      </c>
      <c r="P112" s="1" t="s">
        <v>901</v>
      </c>
      <c r="Q112" s="4" t="s">
        <v>902</v>
      </c>
    </row>
    <row r="113" spans="1:17" ht="67.5" customHeight="1">
      <c r="A113" s="50" t="s">
        <v>100</v>
      </c>
      <c r="B113" s="1" t="s">
        <v>426</v>
      </c>
      <c r="C113" s="1" t="s">
        <v>293</v>
      </c>
      <c r="D113" s="1" t="s">
        <v>792</v>
      </c>
      <c r="E113" s="1" t="s">
        <v>903</v>
      </c>
      <c r="F113" s="2" t="s">
        <v>266</v>
      </c>
      <c r="G113" s="7">
        <v>0.68</v>
      </c>
      <c r="H113" s="1" t="s">
        <v>904</v>
      </c>
      <c r="I113" s="1" t="s">
        <v>268</v>
      </c>
      <c r="J113" s="1" t="s">
        <v>269</v>
      </c>
      <c r="K113" s="1" t="s">
        <v>350</v>
      </c>
      <c r="L113" s="3" t="s">
        <v>905</v>
      </c>
      <c r="M113" s="1" t="s">
        <v>310</v>
      </c>
      <c r="N113" s="1" t="s">
        <v>900</v>
      </c>
      <c r="O113" s="1" t="s">
        <v>290</v>
      </c>
      <c r="P113" s="1" t="s">
        <v>901</v>
      </c>
      <c r="Q113" s="4" t="s">
        <v>902</v>
      </c>
    </row>
    <row r="114" spans="1:17" ht="67.5" customHeight="1">
      <c r="A114" s="50" t="s">
        <v>100</v>
      </c>
      <c r="B114" s="1" t="s">
        <v>262</v>
      </c>
      <c r="C114" s="1" t="s">
        <v>304</v>
      </c>
      <c r="D114" s="1" t="s">
        <v>796</v>
      </c>
      <c r="E114" s="1" t="s">
        <v>906</v>
      </c>
      <c r="F114" s="2" t="s">
        <v>266</v>
      </c>
      <c r="G114" s="7">
        <v>1536</v>
      </c>
      <c r="H114" s="1" t="s">
        <v>907</v>
      </c>
      <c r="I114" s="1" t="s">
        <v>268</v>
      </c>
      <c r="J114" s="1" t="s">
        <v>269</v>
      </c>
      <c r="K114" s="1" t="s">
        <v>270</v>
      </c>
      <c r="L114" s="3" t="s">
        <v>908</v>
      </c>
      <c r="M114" s="1" t="s">
        <v>310</v>
      </c>
      <c r="N114" s="1" t="s">
        <v>909</v>
      </c>
      <c r="O114" s="1" t="s">
        <v>312</v>
      </c>
      <c r="P114" s="1" t="s">
        <v>901</v>
      </c>
      <c r="Q114" s="4" t="s">
        <v>902</v>
      </c>
    </row>
    <row r="115" spans="1:17" ht="67.5" customHeight="1">
      <c r="A115" s="50" t="s">
        <v>100</v>
      </c>
      <c r="B115" s="1" t="s">
        <v>426</v>
      </c>
      <c r="C115" s="1" t="s">
        <v>304</v>
      </c>
      <c r="D115" s="1" t="s">
        <v>802</v>
      </c>
      <c r="E115" s="1" t="s">
        <v>910</v>
      </c>
      <c r="F115" s="2" t="s">
        <v>266</v>
      </c>
      <c r="G115" s="7"/>
      <c r="H115" s="1"/>
      <c r="I115" s="1" t="s">
        <v>297</v>
      </c>
      <c r="J115" s="1" t="s">
        <v>308</v>
      </c>
      <c r="K115" s="1" t="s">
        <v>298</v>
      </c>
      <c r="L115" s="3" t="s">
        <v>911</v>
      </c>
      <c r="M115" s="1" t="s">
        <v>272</v>
      </c>
      <c r="N115" s="1" t="s">
        <v>912</v>
      </c>
      <c r="O115" s="1" t="s">
        <v>312</v>
      </c>
      <c r="P115" s="1" t="s">
        <v>901</v>
      </c>
      <c r="Q115" s="4" t="s">
        <v>902</v>
      </c>
    </row>
    <row r="116" spans="1:17" ht="67.5" customHeight="1">
      <c r="A116" s="50" t="s">
        <v>100</v>
      </c>
      <c r="B116" s="1" t="s">
        <v>913</v>
      </c>
      <c r="C116" s="1" t="s">
        <v>304</v>
      </c>
      <c r="D116" s="1" t="s">
        <v>810</v>
      </c>
      <c r="E116" s="1" t="s">
        <v>914</v>
      </c>
      <c r="F116" s="2" t="s">
        <v>266</v>
      </c>
      <c r="G116" s="7">
        <v>24</v>
      </c>
      <c r="H116" s="1" t="s">
        <v>915</v>
      </c>
      <c r="I116" s="1" t="s">
        <v>268</v>
      </c>
      <c r="J116" s="1" t="s">
        <v>269</v>
      </c>
      <c r="K116" s="1" t="s">
        <v>270</v>
      </c>
      <c r="L116" s="3" t="s">
        <v>916</v>
      </c>
      <c r="M116" s="1" t="s">
        <v>272</v>
      </c>
      <c r="N116" s="1" t="s">
        <v>917</v>
      </c>
      <c r="O116" s="1" t="s">
        <v>312</v>
      </c>
      <c r="P116" s="1" t="s">
        <v>918</v>
      </c>
      <c r="Q116" s="4" t="s">
        <v>919</v>
      </c>
    </row>
    <row r="117" spans="1:17" ht="67.5" customHeight="1">
      <c r="A117" s="50" t="s">
        <v>100</v>
      </c>
      <c r="B117" s="1" t="s">
        <v>426</v>
      </c>
      <c r="C117" s="1" t="s">
        <v>330</v>
      </c>
      <c r="D117" s="1" t="s">
        <v>817</v>
      </c>
      <c r="E117" s="1" t="s">
        <v>920</v>
      </c>
      <c r="F117" s="2" t="s">
        <v>266</v>
      </c>
      <c r="G117" s="7">
        <v>80</v>
      </c>
      <c r="H117" s="1" t="s">
        <v>921</v>
      </c>
      <c r="I117" s="1" t="s">
        <v>268</v>
      </c>
      <c r="J117" s="1" t="s">
        <v>269</v>
      </c>
      <c r="K117" s="1" t="s">
        <v>350</v>
      </c>
      <c r="L117" s="3" t="s">
        <v>922</v>
      </c>
      <c r="M117" s="1" t="s">
        <v>923</v>
      </c>
      <c r="N117" s="1" t="s">
        <v>340</v>
      </c>
      <c r="O117" s="1" t="s">
        <v>312</v>
      </c>
      <c r="P117" s="1" t="s">
        <v>901</v>
      </c>
      <c r="Q117" s="4" t="s">
        <v>902</v>
      </c>
    </row>
    <row r="118" spans="1:17" ht="67.5" customHeight="1">
      <c r="A118" s="50" t="s">
        <v>100</v>
      </c>
      <c r="B118" s="1" t="s">
        <v>262</v>
      </c>
      <c r="C118" s="1" t="s">
        <v>345</v>
      </c>
      <c r="D118" s="1" t="s">
        <v>821</v>
      </c>
      <c r="E118" s="1" t="s">
        <v>924</v>
      </c>
      <c r="F118" s="2" t="s">
        <v>296</v>
      </c>
      <c r="G118" s="7"/>
      <c r="H118" s="1"/>
      <c r="I118" s="1" t="s">
        <v>297</v>
      </c>
      <c r="J118" s="1" t="s">
        <v>308</v>
      </c>
      <c r="K118" s="1" t="s">
        <v>298</v>
      </c>
      <c r="L118" s="3" t="s">
        <v>925</v>
      </c>
      <c r="M118" s="1" t="s">
        <v>481</v>
      </c>
      <c r="N118" s="1" t="s">
        <v>926</v>
      </c>
      <c r="O118" s="1" t="s">
        <v>312</v>
      </c>
      <c r="P118" s="1" t="s">
        <v>901</v>
      </c>
      <c r="Q118" s="4" t="s">
        <v>902</v>
      </c>
    </row>
    <row r="119" spans="1:17" ht="67.5" customHeight="1">
      <c r="A119" s="50" t="s">
        <v>100</v>
      </c>
      <c r="B119" s="1" t="s">
        <v>262</v>
      </c>
      <c r="C119" s="1" t="s">
        <v>400</v>
      </c>
      <c r="D119" s="1" t="s">
        <v>825</v>
      </c>
      <c r="E119" s="1" t="s">
        <v>927</v>
      </c>
      <c r="F119" s="2" t="s">
        <v>266</v>
      </c>
      <c r="G119" s="7">
        <v>95</v>
      </c>
      <c r="H119" s="1" t="s">
        <v>928</v>
      </c>
      <c r="I119" s="1" t="s">
        <v>268</v>
      </c>
      <c r="J119" s="1" t="s">
        <v>412</v>
      </c>
      <c r="K119" s="1" t="s">
        <v>270</v>
      </c>
      <c r="L119" s="3" t="s">
        <v>929</v>
      </c>
      <c r="M119" s="1" t="s">
        <v>406</v>
      </c>
      <c r="N119" s="1" t="s">
        <v>930</v>
      </c>
      <c r="O119" s="1" t="s">
        <v>274</v>
      </c>
      <c r="P119" s="1" t="s">
        <v>901</v>
      </c>
      <c r="Q119" s="4" t="s">
        <v>902</v>
      </c>
    </row>
    <row r="120" spans="1:17" ht="67.5" customHeight="1">
      <c r="A120" s="50" t="s">
        <v>100</v>
      </c>
      <c r="B120" s="1" t="s">
        <v>262</v>
      </c>
      <c r="C120" s="1" t="s">
        <v>400</v>
      </c>
      <c r="D120" s="1" t="s">
        <v>829</v>
      </c>
      <c r="E120" s="1" t="s">
        <v>931</v>
      </c>
      <c r="F120" s="2" t="s">
        <v>296</v>
      </c>
      <c r="G120" s="7">
        <v>70000000</v>
      </c>
      <c r="H120" s="1" t="s">
        <v>932</v>
      </c>
      <c r="I120" s="1" t="s">
        <v>268</v>
      </c>
      <c r="J120" s="1" t="s">
        <v>316</v>
      </c>
      <c r="K120" s="1" t="s">
        <v>270</v>
      </c>
      <c r="L120" s="3" t="s">
        <v>933</v>
      </c>
      <c r="M120" s="1" t="s">
        <v>707</v>
      </c>
      <c r="N120" s="1" t="s">
        <v>934</v>
      </c>
      <c r="O120" s="1" t="s">
        <v>320</v>
      </c>
      <c r="P120" s="1" t="s">
        <v>935</v>
      </c>
      <c r="Q120" s="4" t="s">
        <v>936</v>
      </c>
    </row>
    <row r="121" spans="1:17" ht="67.5" customHeight="1">
      <c r="A121" s="50" t="s">
        <v>100</v>
      </c>
      <c r="B121" s="1" t="s">
        <v>262</v>
      </c>
      <c r="C121" s="1" t="s">
        <v>443</v>
      </c>
      <c r="D121" s="1" t="s">
        <v>837</v>
      </c>
      <c r="E121" s="1" t="s">
        <v>937</v>
      </c>
      <c r="F121" s="2" t="s">
        <v>296</v>
      </c>
      <c r="G121" s="7"/>
      <c r="H121" s="1"/>
      <c r="I121" s="1" t="s">
        <v>297</v>
      </c>
      <c r="J121" s="1" t="s">
        <v>333</v>
      </c>
      <c r="K121" s="1" t="s">
        <v>298</v>
      </c>
      <c r="L121" s="3" t="s">
        <v>938</v>
      </c>
      <c r="M121" s="1" t="s">
        <v>939</v>
      </c>
      <c r="N121" s="1" t="s">
        <v>940</v>
      </c>
      <c r="O121" s="1" t="s">
        <v>312</v>
      </c>
      <c r="P121" s="1" t="s">
        <v>901</v>
      </c>
      <c r="Q121" s="4" t="s">
        <v>902</v>
      </c>
    </row>
    <row r="122" spans="1:17" ht="67.5" customHeight="1">
      <c r="A122" s="50" t="s">
        <v>100</v>
      </c>
      <c r="B122" s="1" t="s">
        <v>292</v>
      </c>
      <c r="C122" s="1" t="s">
        <v>455</v>
      </c>
      <c r="D122" s="1" t="s">
        <v>841</v>
      </c>
      <c r="E122" s="1" t="s">
        <v>941</v>
      </c>
      <c r="F122" s="2" t="s">
        <v>266</v>
      </c>
      <c r="G122" s="7"/>
      <c r="H122" s="1"/>
      <c r="I122" s="1" t="s">
        <v>297</v>
      </c>
      <c r="J122" s="1" t="s">
        <v>316</v>
      </c>
      <c r="K122" s="1" t="s">
        <v>298</v>
      </c>
      <c r="L122" s="3" t="s">
        <v>942</v>
      </c>
      <c r="M122" s="1" t="s">
        <v>943</v>
      </c>
      <c r="N122" s="1" t="s">
        <v>944</v>
      </c>
      <c r="O122" s="1" t="s">
        <v>449</v>
      </c>
      <c r="P122" s="1" t="s">
        <v>935</v>
      </c>
      <c r="Q122" s="4" t="s">
        <v>945</v>
      </c>
    </row>
    <row r="123" spans="1:17" ht="67.5" customHeight="1">
      <c r="A123" s="50" t="s">
        <v>100</v>
      </c>
      <c r="B123" s="1" t="s">
        <v>262</v>
      </c>
      <c r="C123" s="1" t="s">
        <v>455</v>
      </c>
      <c r="D123" s="1" t="s">
        <v>844</v>
      </c>
      <c r="E123" s="1" t="s">
        <v>946</v>
      </c>
      <c r="F123" s="2" t="s">
        <v>296</v>
      </c>
      <c r="G123" s="7"/>
      <c r="H123" s="1"/>
      <c r="I123" s="1" t="s">
        <v>297</v>
      </c>
      <c r="J123" s="1" t="s">
        <v>308</v>
      </c>
      <c r="K123" s="1" t="s">
        <v>298</v>
      </c>
      <c r="L123" s="3" t="s">
        <v>947</v>
      </c>
      <c r="M123" s="1" t="s">
        <v>460</v>
      </c>
      <c r="N123" s="1" t="s">
        <v>948</v>
      </c>
      <c r="O123" s="1" t="s">
        <v>449</v>
      </c>
      <c r="P123" s="1" t="s">
        <v>901</v>
      </c>
      <c r="Q123" s="4" t="s">
        <v>902</v>
      </c>
    </row>
    <row r="124" spans="1:17" ht="67.5" customHeight="1">
      <c r="A124" s="50" t="s">
        <v>111</v>
      </c>
      <c r="B124" s="1" t="s">
        <v>949</v>
      </c>
      <c r="C124" s="1" t="s">
        <v>263</v>
      </c>
      <c r="D124" s="1" t="s">
        <v>850</v>
      </c>
      <c r="E124" s="1" t="s">
        <v>950</v>
      </c>
      <c r="F124" s="2" t="s">
        <v>296</v>
      </c>
      <c r="G124" s="7">
        <v>500</v>
      </c>
      <c r="H124" s="1" t="s">
        <v>951</v>
      </c>
      <c r="I124" s="1" t="s">
        <v>268</v>
      </c>
      <c r="J124" s="1" t="s">
        <v>269</v>
      </c>
      <c r="K124" s="1" t="s">
        <v>952</v>
      </c>
      <c r="L124" s="3" t="s">
        <v>953</v>
      </c>
      <c r="M124" s="1" t="s">
        <v>272</v>
      </c>
      <c r="N124" s="1" t="s">
        <v>954</v>
      </c>
      <c r="O124" s="1" t="s">
        <v>312</v>
      </c>
      <c r="P124" s="1" t="s">
        <v>955</v>
      </c>
      <c r="Q124" s="4" t="s">
        <v>956</v>
      </c>
    </row>
    <row r="125" spans="1:17" ht="67.5" customHeight="1">
      <c r="A125" s="50" t="s">
        <v>111</v>
      </c>
      <c r="B125" s="1" t="s">
        <v>957</v>
      </c>
      <c r="C125" s="1" t="s">
        <v>263</v>
      </c>
      <c r="D125" s="1" t="s">
        <v>855</v>
      </c>
      <c r="E125" s="1" t="s">
        <v>958</v>
      </c>
      <c r="F125" s="2" t="s">
        <v>296</v>
      </c>
      <c r="G125" s="7">
        <v>100</v>
      </c>
      <c r="H125" s="1" t="s">
        <v>959</v>
      </c>
      <c r="I125" s="1" t="s">
        <v>268</v>
      </c>
      <c r="J125" s="1" t="s">
        <v>308</v>
      </c>
      <c r="K125" s="1" t="s">
        <v>270</v>
      </c>
      <c r="L125" s="3" t="s">
        <v>960</v>
      </c>
      <c r="M125" s="1" t="s">
        <v>466</v>
      </c>
      <c r="N125" s="1" t="s">
        <v>961</v>
      </c>
      <c r="O125" s="1" t="s">
        <v>274</v>
      </c>
      <c r="P125" s="1" t="s">
        <v>962</v>
      </c>
      <c r="Q125" s="4" t="s">
        <v>963</v>
      </c>
    </row>
    <row r="126" spans="1:17" ht="67.5" customHeight="1">
      <c r="A126" s="50" t="s">
        <v>111</v>
      </c>
      <c r="B126" s="1" t="s">
        <v>277</v>
      </c>
      <c r="C126" s="1" t="s">
        <v>293</v>
      </c>
      <c r="D126" s="1" t="s">
        <v>861</v>
      </c>
      <c r="E126" s="1" t="s">
        <v>964</v>
      </c>
      <c r="F126" s="2" t="s">
        <v>280</v>
      </c>
      <c r="G126" s="7"/>
      <c r="H126" s="1"/>
      <c r="I126" s="1" t="s">
        <v>281</v>
      </c>
      <c r="J126" s="1" t="s">
        <v>269</v>
      </c>
      <c r="K126" s="1" t="s">
        <v>280</v>
      </c>
      <c r="L126" s="3" t="s">
        <v>965</v>
      </c>
      <c r="M126" s="1" t="s">
        <v>283</v>
      </c>
      <c r="N126" s="1" t="s">
        <v>273</v>
      </c>
      <c r="O126" s="1" t="s">
        <v>290</v>
      </c>
      <c r="P126" s="1" t="s">
        <v>284</v>
      </c>
      <c r="Q126" s="4" t="s">
        <v>966</v>
      </c>
    </row>
    <row r="127" spans="1:17" ht="67.5" customHeight="1">
      <c r="A127" s="50" t="s">
        <v>111</v>
      </c>
      <c r="B127" s="1" t="s">
        <v>277</v>
      </c>
      <c r="C127" s="1" t="s">
        <v>304</v>
      </c>
      <c r="D127" s="1" t="s">
        <v>868</v>
      </c>
      <c r="E127" s="1" t="s">
        <v>967</v>
      </c>
      <c r="F127" s="2" t="s">
        <v>280</v>
      </c>
      <c r="G127" s="7"/>
      <c r="H127" s="1"/>
      <c r="I127" s="1" t="s">
        <v>281</v>
      </c>
      <c r="J127" s="1" t="s">
        <v>269</v>
      </c>
      <c r="K127" s="1" t="s">
        <v>280</v>
      </c>
      <c r="L127" s="3" t="s">
        <v>968</v>
      </c>
      <c r="M127" s="1" t="s">
        <v>283</v>
      </c>
      <c r="N127" s="1" t="s">
        <v>969</v>
      </c>
      <c r="O127" s="1" t="s">
        <v>290</v>
      </c>
      <c r="P127" s="1" t="s">
        <v>284</v>
      </c>
      <c r="Q127" s="4" t="s">
        <v>966</v>
      </c>
    </row>
    <row r="128" spans="1:17" ht="67.5" customHeight="1">
      <c r="A128" s="50" t="s">
        <v>111</v>
      </c>
      <c r="B128" s="1" t="s">
        <v>292</v>
      </c>
      <c r="C128" s="1" t="s">
        <v>330</v>
      </c>
      <c r="D128" s="1" t="s">
        <v>861</v>
      </c>
      <c r="E128" s="1" t="s">
        <v>970</v>
      </c>
      <c r="F128" s="2" t="s">
        <v>296</v>
      </c>
      <c r="G128" s="7"/>
      <c r="H128" s="1"/>
      <c r="I128" s="1" t="s">
        <v>297</v>
      </c>
      <c r="J128" s="1" t="s">
        <v>308</v>
      </c>
      <c r="K128" s="1" t="s">
        <v>298</v>
      </c>
      <c r="L128" s="3" t="s">
        <v>971</v>
      </c>
      <c r="M128" s="1" t="s">
        <v>972</v>
      </c>
      <c r="N128" s="1" t="s">
        <v>973</v>
      </c>
      <c r="O128" s="1" t="s">
        <v>312</v>
      </c>
      <c r="P128" s="1" t="s">
        <v>974</v>
      </c>
      <c r="Q128" s="20" t="s">
        <v>975</v>
      </c>
    </row>
    <row r="129" spans="1:17" ht="67.5" customHeight="1">
      <c r="A129" s="50" t="s">
        <v>111</v>
      </c>
      <c r="B129" s="1" t="s">
        <v>976</v>
      </c>
      <c r="C129" s="1" t="s">
        <v>345</v>
      </c>
      <c r="D129" s="1" t="s">
        <v>868</v>
      </c>
      <c r="E129" s="1" t="s">
        <v>977</v>
      </c>
      <c r="F129" s="2" t="s">
        <v>296</v>
      </c>
      <c r="G129" s="7"/>
      <c r="H129" s="1"/>
      <c r="I129" s="1" t="s">
        <v>978</v>
      </c>
      <c r="J129" s="1" t="s">
        <v>308</v>
      </c>
      <c r="K129" s="1" t="s">
        <v>298</v>
      </c>
      <c r="L129" s="3" t="s">
        <v>979</v>
      </c>
      <c r="M129" s="1" t="s">
        <v>980</v>
      </c>
      <c r="N129" s="1" t="s">
        <v>981</v>
      </c>
      <c r="O129" s="1" t="s">
        <v>354</v>
      </c>
      <c r="P129" s="1" t="s">
        <v>982</v>
      </c>
      <c r="Q129" s="19" t="s">
        <v>983</v>
      </c>
    </row>
    <row r="130" spans="1:17" ht="55.5" customHeight="1">
      <c r="A130" s="50" t="s">
        <v>111</v>
      </c>
      <c r="B130" s="1" t="s">
        <v>662</v>
      </c>
      <c r="C130" s="1" t="s">
        <v>443</v>
      </c>
      <c r="D130" s="1" t="s">
        <v>876</v>
      </c>
      <c r="E130" s="1" t="s">
        <v>984</v>
      </c>
      <c r="F130" s="2" t="s">
        <v>266</v>
      </c>
      <c r="G130" s="7"/>
      <c r="H130" s="1"/>
      <c r="I130" s="1" t="s">
        <v>297</v>
      </c>
      <c r="J130" s="1" t="s">
        <v>349</v>
      </c>
      <c r="K130" s="1" t="s">
        <v>298</v>
      </c>
      <c r="L130" s="3" t="s">
        <v>985</v>
      </c>
      <c r="M130" s="1" t="s">
        <v>986</v>
      </c>
      <c r="N130" s="1" t="s">
        <v>987</v>
      </c>
      <c r="O130" s="1" t="s">
        <v>354</v>
      </c>
      <c r="P130" s="1" t="s">
        <v>988</v>
      </c>
      <c r="Q130" s="4" t="s">
        <v>989</v>
      </c>
    </row>
    <row r="131" spans="1:17" ht="54.75" customHeight="1">
      <c r="A131" s="50" t="s">
        <v>111</v>
      </c>
      <c r="B131" s="1" t="s">
        <v>292</v>
      </c>
      <c r="C131" s="1" t="s">
        <v>455</v>
      </c>
      <c r="D131" s="1" t="s">
        <v>882</v>
      </c>
      <c r="E131" s="1" t="s">
        <v>990</v>
      </c>
      <c r="F131" s="2" t="s">
        <v>296</v>
      </c>
      <c r="G131" s="7"/>
      <c r="H131" s="1"/>
      <c r="I131" s="1" t="s">
        <v>297</v>
      </c>
      <c r="J131" s="1" t="s">
        <v>316</v>
      </c>
      <c r="K131" s="1" t="s">
        <v>298</v>
      </c>
      <c r="L131" s="3" t="s">
        <v>991</v>
      </c>
      <c r="M131" s="1" t="s">
        <v>359</v>
      </c>
      <c r="N131" s="1" t="s">
        <v>992</v>
      </c>
      <c r="O131" s="1" t="s">
        <v>449</v>
      </c>
      <c r="P131" s="1" t="s">
        <v>993</v>
      </c>
      <c r="Q131" s="4" t="s">
        <v>994</v>
      </c>
    </row>
    <row r="132" spans="1:17" ht="67.5" customHeight="1">
      <c r="A132" s="50" t="s">
        <v>111</v>
      </c>
      <c r="B132" s="1" t="s">
        <v>277</v>
      </c>
      <c r="C132" s="1" t="s">
        <v>400</v>
      </c>
      <c r="D132" s="1" t="s">
        <v>995</v>
      </c>
      <c r="E132" s="1" t="s">
        <v>996</v>
      </c>
      <c r="F132" s="2" t="s">
        <v>280</v>
      </c>
      <c r="G132" s="7"/>
      <c r="H132" s="1"/>
      <c r="I132" s="1" t="s">
        <v>281</v>
      </c>
      <c r="J132" s="1" t="s">
        <v>404</v>
      </c>
      <c r="K132" s="1" t="s">
        <v>280</v>
      </c>
      <c r="L132" s="3" t="s">
        <v>997</v>
      </c>
      <c r="M132" s="1" t="s">
        <v>406</v>
      </c>
      <c r="N132" s="1" t="s">
        <v>647</v>
      </c>
      <c r="O132" s="1" t="s">
        <v>290</v>
      </c>
      <c r="P132" s="1" t="s">
        <v>284</v>
      </c>
      <c r="Q132" s="4" t="s">
        <v>966</v>
      </c>
    </row>
    <row r="133" spans="1:17" ht="15.75" customHeight="1"/>
    <row r="134" spans="1:17" ht="15.75" customHeight="1"/>
    <row r="135" spans="1:17" ht="15.75" customHeight="1"/>
    <row r="136" spans="1:17" ht="15.75" customHeight="1"/>
    <row r="137" spans="1:17" ht="15.75" customHeight="1"/>
    <row r="138" spans="1:17" ht="15.75" customHeight="1"/>
    <row r="139" spans="1:17" ht="15.75" customHeight="1"/>
    <row r="140" spans="1:17" ht="15.75" customHeight="1"/>
    <row r="141" spans="1:17" ht="15.75" customHeight="1"/>
    <row r="142" spans="1:17" ht="15.75" customHeight="1"/>
    <row r="143" spans="1:17" ht="15.75" customHeight="1"/>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48554" spans="6:6">
      <c r="F1048554">
        <f>COUNTA(F2:F131)</f>
        <v>130</v>
      </c>
    </row>
  </sheetData>
  <conditionalFormatting sqref="F2:F1048553">
    <cfRule type="expression" dxfId="2" priority="1">
      <formula>F2="Core"</formula>
    </cfRule>
    <cfRule type="expression" dxfId="1" priority="2">
      <formula>F2="Data gap"</formula>
    </cfRule>
    <cfRule type="expression" dxfId="0" priority="3">
      <formula>F2="Appendix"</formula>
    </cfRule>
  </conditionalFormatting>
  <dataValidations count="2">
    <dataValidation type="list" allowBlank="1" sqref="F2:F1048553" xr:uid="{00000000-0002-0000-0600-000000000000}">
      <formula1>"Core,Supporting,Appendix,Data gap"</formula1>
    </dataValidation>
    <dataValidation type="list" allowBlank="1" sqref="C2:C1048553" xr:uid="{00000000-0002-0000-0600-000001000000}">
      <formula1>"Energy &amp; Climate,Water,Waste &amp; Plastic,Food &amp; Procurement,Biodiversity &amp; Ecosystems,Community &amp; People,Culture &amp; Heritage,Guest Engagement"</formula1>
    </dataValidation>
  </dataValidations>
  <hyperlinks>
    <hyperlink ref="Q128" r:id="rId1" xr:uid="{00000000-0004-0000-0600-000000000000}"/>
    <hyperlink ref="Q129" r:id="rId2" xr:uid="{00000000-0004-0000-0600-000001000000}"/>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heetViews>
  <sheetFormatPr defaultColWidth="12.625" defaultRowHeight="15"/>
  <cols>
    <col min="1" max="1" width="29" style="51" customWidth="1"/>
    <col min="2" max="2" width="22" style="8" customWidth="1"/>
    <col min="3" max="3" width="18" customWidth="1"/>
    <col min="4" max="4" width="38" customWidth="1"/>
    <col min="5" max="5" width="54" customWidth="1"/>
    <col min="6" max="6" width="13" customWidth="1"/>
    <col min="7" max="7" width="15" hidden="1" customWidth="1"/>
    <col min="8" max="8" width="20" hidden="1" customWidth="1"/>
    <col min="9" max="9" width="34" customWidth="1"/>
    <col min="10" max="10" width="28" customWidth="1"/>
    <col min="11" max="11" width="23" customWidth="1"/>
    <col min="12" max="12" width="24" customWidth="1"/>
    <col min="13" max="13" width="48" customWidth="1"/>
    <col min="14" max="14" width="58" customWidth="1"/>
    <col min="15" max="23" width="8.625" customWidth="1"/>
  </cols>
  <sheetData>
    <row r="1" spans="1:14" s="56" customFormat="1" ht="31.5" customHeight="1">
      <c r="A1" s="52" t="s">
        <v>1</v>
      </c>
      <c r="B1" s="52" t="s">
        <v>998</v>
      </c>
      <c r="C1" s="52" t="s">
        <v>246</v>
      </c>
      <c r="D1" s="52" t="s">
        <v>999</v>
      </c>
      <c r="E1" s="52" t="s">
        <v>1000</v>
      </c>
      <c r="F1" s="52" t="s">
        <v>250</v>
      </c>
      <c r="G1" s="52" t="s">
        <v>1001</v>
      </c>
      <c r="H1" s="52" t="s">
        <v>1002</v>
      </c>
      <c r="I1" s="52" t="s">
        <v>1003</v>
      </c>
      <c r="J1" s="52" t="s">
        <v>1004</v>
      </c>
      <c r="K1" s="52" t="s">
        <v>255</v>
      </c>
      <c r="L1" s="52" t="s">
        <v>259</v>
      </c>
      <c r="M1" s="52" t="s">
        <v>256</v>
      </c>
      <c r="N1" s="58" t="s">
        <v>261</v>
      </c>
    </row>
    <row r="2" spans="1:14" ht="67.5" customHeight="1">
      <c r="A2" s="50" t="s">
        <v>12</v>
      </c>
      <c r="B2" s="1" t="s">
        <v>1005</v>
      </c>
      <c r="C2" s="1" t="s">
        <v>1006</v>
      </c>
      <c r="D2" s="1" t="s">
        <v>1007</v>
      </c>
      <c r="E2" s="1" t="s">
        <v>1008</v>
      </c>
      <c r="F2" s="2" t="s">
        <v>1009</v>
      </c>
      <c r="G2" s="1"/>
      <c r="H2" s="1"/>
      <c r="I2" s="1" t="s">
        <v>1010</v>
      </c>
      <c r="J2" s="1" t="s">
        <v>1011</v>
      </c>
      <c r="K2" s="1" t="s">
        <v>1012</v>
      </c>
      <c r="L2" s="1" t="s">
        <v>290</v>
      </c>
      <c r="M2" s="3" t="s">
        <v>1013</v>
      </c>
      <c r="N2" s="4" t="s">
        <v>1014</v>
      </c>
    </row>
    <row r="3" spans="1:14" ht="67.5" customHeight="1">
      <c r="A3" s="50" t="s">
        <v>12</v>
      </c>
      <c r="B3" s="1" t="s">
        <v>1015</v>
      </c>
      <c r="C3" s="1" t="s">
        <v>1016</v>
      </c>
      <c r="D3" s="1" t="s">
        <v>1017</v>
      </c>
      <c r="E3" s="1" t="s">
        <v>1018</v>
      </c>
      <c r="F3" s="2" t="s">
        <v>1009</v>
      </c>
      <c r="G3" s="1">
        <v>0.5</v>
      </c>
      <c r="H3" s="1" t="s">
        <v>1019</v>
      </c>
      <c r="I3" s="1" t="s">
        <v>268</v>
      </c>
      <c r="J3" s="1" t="s">
        <v>1020</v>
      </c>
      <c r="K3" s="1" t="s">
        <v>182</v>
      </c>
      <c r="L3" s="1" t="s">
        <v>312</v>
      </c>
      <c r="M3" s="3" t="s">
        <v>1021</v>
      </c>
      <c r="N3" s="4" t="s">
        <v>291</v>
      </c>
    </row>
    <row r="4" spans="1:14" ht="67.5" customHeight="1">
      <c r="A4" s="50" t="s">
        <v>12</v>
      </c>
      <c r="B4" s="1" t="s">
        <v>1015</v>
      </c>
      <c r="C4" s="1" t="s">
        <v>1016</v>
      </c>
      <c r="D4" s="1" t="s">
        <v>1022</v>
      </c>
      <c r="E4" s="1" t="s">
        <v>1023</v>
      </c>
      <c r="F4" s="2" t="s">
        <v>1024</v>
      </c>
      <c r="G4" s="1"/>
      <c r="H4" s="1"/>
      <c r="I4" s="1" t="s">
        <v>297</v>
      </c>
      <c r="J4" s="1" t="s">
        <v>1025</v>
      </c>
      <c r="K4" s="1" t="s">
        <v>185</v>
      </c>
      <c r="L4" s="1" t="s">
        <v>312</v>
      </c>
      <c r="M4" s="3" t="s">
        <v>1026</v>
      </c>
      <c r="N4" s="4" t="s">
        <v>291</v>
      </c>
    </row>
    <row r="5" spans="1:14" ht="67.5" customHeight="1">
      <c r="A5" s="50" t="s">
        <v>12</v>
      </c>
      <c r="B5" s="1" t="s">
        <v>1015</v>
      </c>
      <c r="C5" s="1" t="s">
        <v>262</v>
      </c>
      <c r="D5" s="1" t="s">
        <v>1027</v>
      </c>
      <c r="E5" s="1" t="s">
        <v>1028</v>
      </c>
      <c r="F5" s="2" t="s">
        <v>1024</v>
      </c>
      <c r="G5" s="1"/>
      <c r="H5" s="1"/>
      <c r="I5" s="1" t="s">
        <v>297</v>
      </c>
      <c r="J5" s="1" t="s">
        <v>1029</v>
      </c>
      <c r="K5" s="1" t="s">
        <v>182</v>
      </c>
      <c r="L5" s="1" t="s">
        <v>290</v>
      </c>
      <c r="M5" s="3" t="s">
        <v>1030</v>
      </c>
      <c r="N5" s="4" t="s">
        <v>1031</v>
      </c>
    </row>
    <row r="6" spans="1:14" ht="67.5" customHeight="1">
      <c r="A6" s="50" t="s">
        <v>12</v>
      </c>
      <c r="B6" s="1" t="s">
        <v>1015</v>
      </c>
      <c r="C6" s="1" t="s">
        <v>1016</v>
      </c>
      <c r="D6" s="1" t="s">
        <v>1032</v>
      </c>
      <c r="E6" s="1" t="s">
        <v>1033</v>
      </c>
      <c r="F6" s="2" t="s">
        <v>1024</v>
      </c>
      <c r="G6" s="1"/>
      <c r="H6" s="1"/>
      <c r="I6" s="1" t="s">
        <v>297</v>
      </c>
      <c r="J6" s="1" t="s">
        <v>1025</v>
      </c>
      <c r="K6" s="1" t="s">
        <v>182</v>
      </c>
      <c r="L6" s="1" t="s">
        <v>290</v>
      </c>
      <c r="M6" s="3" t="s">
        <v>1034</v>
      </c>
      <c r="N6" s="4" t="s">
        <v>291</v>
      </c>
    </row>
    <row r="7" spans="1:14" ht="67.5" customHeight="1">
      <c r="A7" s="50" t="s">
        <v>12</v>
      </c>
      <c r="B7" s="1" t="s">
        <v>1005</v>
      </c>
      <c r="C7" s="1" t="s">
        <v>913</v>
      </c>
      <c r="D7" s="1" t="s">
        <v>1035</v>
      </c>
      <c r="E7" s="1" t="s">
        <v>1036</v>
      </c>
      <c r="F7" s="2" t="s">
        <v>1024</v>
      </c>
      <c r="G7" s="1"/>
      <c r="H7" s="1"/>
      <c r="I7" s="1" t="s">
        <v>1037</v>
      </c>
      <c r="J7" s="1" t="s">
        <v>1038</v>
      </c>
      <c r="K7" s="1" t="s">
        <v>1039</v>
      </c>
      <c r="L7" s="1" t="s">
        <v>290</v>
      </c>
      <c r="M7" s="3" t="s">
        <v>1040</v>
      </c>
      <c r="N7" s="4" t="s">
        <v>1041</v>
      </c>
    </row>
    <row r="8" spans="1:14" ht="67.5" customHeight="1">
      <c r="A8" s="50" t="s">
        <v>23</v>
      </c>
      <c r="B8" s="1" t="s">
        <v>1005</v>
      </c>
      <c r="C8" s="1" t="s">
        <v>1016</v>
      </c>
      <c r="D8" s="1" t="s">
        <v>1042</v>
      </c>
      <c r="E8" s="1" t="s">
        <v>1043</v>
      </c>
      <c r="F8" s="2" t="s">
        <v>1009</v>
      </c>
      <c r="G8" s="1"/>
      <c r="H8" s="1"/>
      <c r="I8" s="1" t="s">
        <v>1010</v>
      </c>
      <c r="J8" s="1" t="s">
        <v>489</v>
      </c>
      <c r="K8" s="1" t="s">
        <v>1012</v>
      </c>
      <c r="L8" s="1" t="s">
        <v>290</v>
      </c>
      <c r="M8" s="3" t="s">
        <v>1044</v>
      </c>
      <c r="N8" s="4" t="s">
        <v>490</v>
      </c>
    </row>
    <row r="9" spans="1:14" ht="67.5" customHeight="1">
      <c r="A9" s="50" t="s">
        <v>23</v>
      </c>
      <c r="B9" s="1" t="s">
        <v>1005</v>
      </c>
      <c r="C9" s="1" t="s">
        <v>471</v>
      </c>
      <c r="D9" s="1" t="s">
        <v>1045</v>
      </c>
      <c r="E9" s="1" t="s">
        <v>1046</v>
      </c>
      <c r="F9" s="2" t="s">
        <v>1009</v>
      </c>
      <c r="G9" s="1"/>
      <c r="H9" s="1"/>
      <c r="I9" s="1" t="s">
        <v>297</v>
      </c>
      <c r="J9" s="1" t="s">
        <v>475</v>
      </c>
      <c r="K9" s="1" t="s">
        <v>182</v>
      </c>
      <c r="L9" s="1" t="s">
        <v>290</v>
      </c>
      <c r="M9" s="3" t="s">
        <v>1047</v>
      </c>
      <c r="N9" s="4" t="s">
        <v>476</v>
      </c>
    </row>
    <row r="10" spans="1:14" ht="67.5" customHeight="1">
      <c r="A10" s="50" t="s">
        <v>34</v>
      </c>
      <c r="B10" s="1" t="s">
        <v>1005</v>
      </c>
      <c r="C10" s="1" t="s">
        <v>1048</v>
      </c>
      <c r="D10" s="1" t="s">
        <v>1007</v>
      </c>
      <c r="E10" s="1" t="s">
        <v>1049</v>
      </c>
      <c r="F10" s="2" t="s">
        <v>1009</v>
      </c>
      <c r="G10" s="1"/>
      <c r="H10" s="1"/>
      <c r="I10" s="1" t="s">
        <v>1010</v>
      </c>
      <c r="J10" s="1" t="s">
        <v>1011</v>
      </c>
      <c r="K10" s="1" t="s">
        <v>1012</v>
      </c>
      <c r="L10" s="1" t="s">
        <v>290</v>
      </c>
      <c r="M10" s="3" t="s">
        <v>1050</v>
      </c>
      <c r="N10" s="4" t="s">
        <v>1014</v>
      </c>
    </row>
    <row r="11" spans="1:14" ht="67.5" customHeight="1">
      <c r="A11" s="50" t="s">
        <v>34</v>
      </c>
      <c r="B11" s="1" t="s">
        <v>1005</v>
      </c>
      <c r="C11" s="1" t="s">
        <v>1016</v>
      </c>
      <c r="D11" s="1" t="s">
        <v>1051</v>
      </c>
      <c r="E11" s="1" t="s">
        <v>1052</v>
      </c>
      <c r="F11" s="2" t="s">
        <v>1009</v>
      </c>
      <c r="G11" s="1">
        <v>2</v>
      </c>
      <c r="H11" s="1" t="s">
        <v>1053</v>
      </c>
      <c r="I11" s="1" t="s">
        <v>268</v>
      </c>
      <c r="J11" s="1" t="s">
        <v>592</v>
      </c>
      <c r="K11" s="1" t="s">
        <v>182</v>
      </c>
      <c r="L11" s="1" t="s">
        <v>312</v>
      </c>
      <c r="M11" s="3" t="s">
        <v>1054</v>
      </c>
      <c r="N11" s="4" t="s">
        <v>547</v>
      </c>
    </row>
    <row r="12" spans="1:14" ht="67.5" customHeight="1">
      <c r="A12" s="50" t="s">
        <v>34</v>
      </c>
      <c r="B12" s="1" t="s">
        <v>1055</v>
      </c>
      <c r="C12" s="1" t="s">
        <v>1056</v>
      </c>
      <c r="D12" s="1" t="s">
        <v>1057</v>
      </c>
      <c r="E12" s="1" t="s">
        <v>1058</v>
      </c>
      <c r="F12" s="2" t="s">
        <v>1024</v>
      </c>
      <c r="G12" s="1"/>
      <c r="H12" s="1"/>
      <c r="I12" s="1" t="s">
        <v>1010</v>
      </c>
      <c r="J12" s="1" t="s">
        <v>1059</v>
      </c>
      <c r="K12" s="1" t="s">
        <v>1012</v>
      </c>
      <c r="L12" s="1" t="s">
        <v>290</v>
      </c>
      <c r="M12" s="3" t="s">
        <v>1060</v>
      </c>
      <c r="N12" s="4" t="s">
        <v>1061</v>
      </c>
    </row>
    <row r="13" spans="1:14" ht="67.5" customHeight="1">
      <c r="A13" s="50" t="s">
        <v>45</v>
      </c>
      <c r="B13" s="1" t="s">
        <v>1005</v>
      </c>
      <c r="C13" s="1" t="s">
        <v>483</v>
      </c>
      <c r="D13" s="1" t="s">
        <v>1062</v>
      </c>
      <c r="E13" s="1" t="s">
        <v>1063</v>
      </c>
      <c r="F13" s="2" t="s">
        <v>1009</v>
      </c>
      <c r="G13" s="1"/>
      <c r="H13" s="1"/>
      <c r="I13" s="1" t="s">
        <v>1037</v>
      </c>
      <c r="J13" s="1" t="s">
        <v>1064</v>
      </c>
      <c r="K13" s="1" t="s">
        <v>1039</v>
      </c>
      <c r="L13" s="1" t="s">
        <v>290</v>
      </c>
      <c r="M13" s="3" t="s">
        <v>1065</v>
      </c>
      <c r="N13" s="4" t="s">
        <v>1066</v>
      </c>
    </row>
    <row r="14" spans="1:14" ht="67.5" customHeight="1">
      <c r="A14" s="50" t="s">
        <v>45</v>
      </c>
      <c r="B14" s="1" t="s">
        <v>1005</v>
      </c>
      <c r="C14" s="1" t="s">
        <v>1016</v>
      </c>
      <c r="D14" s="1" t="s">
        <v>1067</v>
      </c>
      <c r="E14" s="1" t="s">
        <v>1068</v>
      </c>
      <c r="F14" s="2" t="s">
        <v>1009</v>
      </c>
      <c r="G14" s="1"/>
      <c r="H14" s="1"/>
      <c r="I14" s="1" t="s">
        <v>297</v>
      </c>
      <c r="J14" s="1" t="s">
        <v>1069</v>
      </c>
      <c r="K14" s="1" t="s">
        <v>182</v>
      </c>
      <c r="L14" s="1" t="s">
        <v>312</v>
      </c>
      <c r="M14" s="3" t="s">
        <v>1070</v>
      </c>
      <c r="N14" s="4" t="s">
        <v>626</v>
      </c>
    </row>
    <row r="15" spans="1:14" ht="67.5" customHeight="1">
      <c r="A15" s="50" t="s">
        <v>56</v>
      </c>
      <c r="B15" s="1" t="s">
        <v>1005</v>
      </c>
      <c r="C15" s="1" t="s">
        <v>662</v>
      </c>
      <c r="D15" s="1" t="s">
        <v>1071</v>
      </c>
      <c r="E15" s="1" t="s">
        <v>1072</v>
      </c>
      <c r="F15" s="2" t="s">
        <v>1009</v>
      </c>
      <c r="G15" s="1">
        <v>10</v>
      </c>
      <c r="H15" s="1" t="s">
        <v>1073</v>
      </c>
      <c r="I15" s="1" t="s">
        <v>268</v>
      </c>
      <c r="J15" s="1" t="s">
        <v>668</v>
      </c>
      <c r="K15" s="1" t="s">
        <v>185</v>
      </c>
      <c r="L15" s="1" t="s">
        <v>290</v>
      </c>
      <c r="M15" s="3" t="s">
        <v>1074</v>
      </c>
      <c r="N15" s="4" t="s">
        <v>669</v>
      </c>
    </row>
    <row r="16" spans="1:14" ht="67.5" customHeight="1">
      <c r="A16" s="50" t="s">
        <v>56</v>
      </c>
      <c r="B16" s="1" t="s">
        <v>1005</v>
      </c>
      <c r="C16" s="1" t="s">
        <v>1016</v>
      </c>
      <c r="D16" s="1" t="s">
        <v>1075</v>
      </c>
      <c r="E16" s="1" t="s">
        <v>1076</v>
      </c>
      <c r="F16" s="2" t="s">
        <v>1009</v>
      </c>
      <c r="G16" s="1"/>
      <c r="H16" s="1"/>
      <c r="I16" s="1" t="s">
        <v>297</v>
      </c>
      <c r="J16" s="1" t="s">
        <v>673</v>
      </c>
      <c r="K16" s="1" t="s">
        <v>1012</v>
      </c>
      <c r="L16" s="1" t="s">
        <v>290</v>
      </c>
      <c r="M16" s="3" t="s">
        <v>1077</v>
      </c>
      <c r="N16" s="4" t="s">
        <v>674</v>
      </c>
    </row>
    <row r="17" spans="1:15" ht="67.5" customHeight="1">
      <c r="A17" s="50" t="s">
        <v>67</v>
      </c>
      <c r="B17" s="1" t="s">
        <v>1005</v>
      </c>
      <c r="C17" s="1" t="s">
        <v>1006</v>
      </c>
      <c r="D17" s="1" t="s">
        <v>1007</v>
      </c>
      <c r="E17" s="1" t="s">
        <v>1078</v>
      </c>
      <c r="F17" s="2" t="s">
        <v>1009</v>
      </c>
      <c r="G17" s="1"/>
      <c r="H17" s="1"/>
      <c r="I17" s="1" t="s">
        <v>1010</v>
      </c>
      <c r="J17" s="1" t="s">
        <v>1011</v>
      </c>
      <c r="K17" s="1" t="s">
        <v>1012</v>
      </c>
      <c r="L17" s="1" t="s">
        <v>290</v>
      </c>
      <c r="M17" s="3" t="s">
        <v>1079</v>
      </c>
      <c r="N17" s="4" t="s">
        <v>1014</v>
      </c>
    </row>
    <row r="18" spans="1:15" ht="67.5" customHeight="1">
      <c r="A18" s="50" t="s">
        <v>67</v>
      </c>
      <c r="B18" s="1" t="s">
        <v>1015</v>
      </c>
      <c r="C18" s="1" t="s">
        <v>1016</v>
      </c>
      <c r="D18" s="1" t="s">
        <v>1080</v>
      </c>
      <c r="E18" s="1" t="s">
        <v>1081</v>
      </c>
      <c r="F18" s="2" t="s">
        <v>1009</v>
      </c>
      <c r="G18" s="1">
        <v>0.5</v>
      </c>
      <c r="H18" s="1" t="s">
        <v>1082</v>
      </c>
      <c r="I18" s="1" t="s">
        <v>268</v>
      </c>
      <c r="J18" s="1" t="s">
        <v>1083</v>
      </c>
      <c r="K18" s="1" t="s">
        <v>182</v>
      </c>
      <c r="L18" s="1" t="s">
        <v>312</v>
      </c>
      <c r="M18" s="3" t="s">
        <v>1084</v>
      </c>
      <c r="N18" s="4" t="s">
        <v>291</v>
      </c>
    </row>
    <row r="19" spans="1:15" ht="67.5" customHeight="1">
      <c r="A19" s="50" t="s">
        <v>78</v>
      </c>
      <c r="B19" s="1" t="s">
        <v>1005</v>
      </c>
      <c r="C19" s="1" t="s">
        <v>1016</v>
      </c>
      <c r="D19" s="1" t="s">
        <v>1085</v>
      </c>
      <c r="E19" s="1" t="s">
        <v>1086</v>
      </c>
      <c r="F19" s="2" t="s">
        <v>1009</v>
      </c>
      <c r="G19" s="1"/>
      <c r="H19" s="1"/>
      <c r="I19" s="1" t="s">
        <v>297</v>
      </c>
      <c r="J19" s="1" t="s">
        <v>787</v>
      </c>
      <c r="K19" s="1" t="s">
        <v>182</v>
      </c>
      <c r="L19" s="1" t="s">
        <v>312</v>
      </c>
      <c r="M19" s="3" t="s">
        <v>1087</v>
      </c>
      <c r="N19" s="4" t="s">
        <v>788</v>
      </c>
    </row>
    <row r="20" spans="1:15" ht="67.5" customHeight="1">
      <c r="A20" s="50" t="s">
        <v>78</v>
      </c>
      <c r="B20" s="1" t="s">
        <v>1005</v>
      </c>
      <c r="C20" s="1" t="s">
        <v>1088</v>
      </c>
      <c r="D20" s="1" t="s">
        <v>1089</v>
      </c>
      <c r="E20" s="1" t="s">
        <v>1090</v>
      </c>
      <c r="F20" s="2" t="s">
        <v>1091</v>
      </c>
      <c r="G20" s="1"/>
      <c r="H20" s="1"/>
      <c r="I20" s="1" t="s">
        <v>281</v>
      </c>
      <c r="J20" s="1" t="s">
        <v>1092</v>
      </c>
      <c r="K20" s="1" t="s">
        <v>1091</v>
      </c>
      <c r="L20" s="1" t="s">
        <v>290</v>
      </c>
      <c r="M20" s="3" t="s">
        <v>1093</v>
      </c>
      <c r="N20" s="4" t="s">
        <v>788</v>
      </c>
    </row>
    <row r="21" spans="1:15" ht="67.5" customHeight="1">
      <c r="A21" s="50" t="s">
        <v>89</v>
      </c>
      <c r="B21" s="1" t="s">
        <v>1005</v>
      </c>
      <c r="C21" s="1" t="s">
        <v>1016</v>
      </c>
      <c r="D21" s="1" t="s">
        <v>1094</v>
      </c>
      <c r="E21" s="1" t="s">
        <v>1095</v>
      </c>
      <c r="F21" s="2" t="s">
        <v>1009</v>
      </c>
      <c r="G21" s="1"/>
      <c r="H21" s="1"/>
      <c r="I21" s="1" t="s">
        <v>297</v>
      </c>
      <c r="J21" s="1" t="s">
        <v>848</v>
      </c>
      <c r="K21" s="1" t="s">
        <v>182</v>
      </c>
      <c r="L21" s="1" t="s">
        <v>312</v>
      </c>
      <c r="M21" s="3" t="s">
        <v>1096</v>
      </c>
      <c r="N21" s="4" t="s">
        <v>840</v>
      </c>
    </row>
    <row r="22" spans="1:15" ht="67.5" customHeight="1">
      <c r="A22" s="50" t="s">
        <v>89</v>
      </c>
      <c r="B22" s="1" t="s">
        <v>1097</v>
      </c>
      <c r="C22" s="1" t="s">
        <v>1098</v>
      </c>
      <c r="D22" s="1" t="s">
        <v>1099</v>
      </c>
      <c r="E22" s="1" t="s">
        <v>1100</v>
      </c>
      <c r="F22" s="2" t="s">
        <v>1024</v>
      </c>
      <c r="G22" s="1"/>
      <c r="H22" s="1"/>
      <c r="I22" s="1" t="s">
        <v>1101</v>
      </c>
      <c r="J22" s="1" t="s">
        <v>866</v>
      </c>
      <c r="K22" s="1" t="s">
        <v>1102</v>
      </c>
      <c r="L22" s="1" t="s">
        <v>366</v>
      </c>
      <c r="M22" s="3" t="s">
        <v>1103</v>
      </c>
      <c r="N22" s="4" t="s">
        <v>867</v>
      </c>
    </row>
    <row r="23" spans="1:15" ht="67.5" customHeight="1">
      <c r="A23" s="50" t="s">
        <v>89</v>
      </c>
      <c r="B23" s="1" t="s">
        <v>1005</v>
      </c>
      <c r="C23" s="1" t="s">
        <v>1088</v>
      </c>
      <c r="D23" s="1" t="s">
        <v>1104</v>
      </c>
      <c r="E23" s="1" t="s">
        <v>1105</v>
      </c>
      <c r="F23" s="2" t="s">
        <v>1091</v>
      </c>
      <c r="G23" s="1"/>
      <c r="H23" s="1"/>
      <c r="I23" s="1" t="s">
        <v>281</v>
      </c>
      <c r="J23" s="1" t="s">
        <v>1092</v>
      </c>
      <c r="K23" s="1" t="s">
        <v>1091</v>
      </c>
      <c r="L23" s="1" t="s">
        <v>290</v>
      </c>
      <c r="M23" s="3" t="s">
        <v>1106</v>
      </c>
      <c r="N23" s="4" t="s">
        <v>840</v>
      </c>
    </row>
    <row r="24" spans="1:15" ht="67.5" customHeight="1">
      <c r="A24" s="50" t="s">
        <v>100</v>
      </c>
      <c r="B24" s="1" t="s">
        <v>1005</v>
      </c>
      <c r="C24" s="1" t="s">
        <v>426</v>
      </c>
      <c r="D24" s="1" t="s">
        <v>1107</v>
      </c>
      <c r="E24" s="1" t="s">
        <v>1108</v>
      </c>
      <c r="F24" s="2" t="s">
        <v>1009</v>
      </c>
      <c r="G24" s="1"/>
      <c r="H24" s="1"/>
      <c r="I24" s="1" t="s">
        <v>297</v>
      </c>
      <c r="J24" s="1" t="s">
        <v>901</v>
      </c>
      <c r="K24" s="1" t="s">
        <v>182</v>
      </c>
      <c r="L24" s="1" t="s">
        <v>290</v>
      </c>
      <c r="M24" s="3" t="s">
        <v>1109</v>
      </c>
      <c r="N24" s="4" t="s">
        <v>902</v>
      </c>
    </row>
    <row r="25" spans="1:15" ht="67.5" customHeight="1">
      <c r="A25" s="50" t="s">
        <v>100</v>
      </c>
      <c r="B25" s="1" t="s">
        <v>1005</v>
      </c>
      <c r="C25" s="1" t="s">
        <v>1110</v>
      </c>
      <c r="D25" s="1" t="s">
        <v>1111</v>
      </c>
      <c r="E25" s="1" t="s">
        <v>1112</v>
      </c>
      <c r="F25" s="2" t="s">
        <v>1009</v>
      </c>
      <c r="G25" s="1"/>
      <c r="H25" s="1"/>
      <c r="I25" s="1" t="s">
        <v>297</v>
      </c>
      <c r="J25" s="1" t="s">
        <v>1113</v>
      </c>
      <c r="K25" s="1" t="s">
        <v>1012</v>
      </c>
      <c r="L25" s="1" t="s">
        <v>290</v>
      </c>
      <c r="M25" s="3" t="s">
        <v>1114</v>
      </c>
      <c r="N25" s="4" t="s">
        <v>936</v>
      </c>
    </row>
    <row r="26" spans="1:15" ht="67.5" customHeight="1">
      <c r="A26" s="50" t="s">
        <v>100</v>
      </c>
      <c r="B26" s="1" t="s">
        <v>1005</v>
      </c>
      <c r="C26" s="1" t="s">
        <v>483</v>
      </c>
      <c r="D26" s="1" t="s">
        <v>1115</v>
      </c>
      <c r="E26" s="1" t="s">
        <v>1116</v>
      </c>
      <c r="F26" s="2" t="s">
        <v>1024</v>
      </c>
      <c r="G26" s="1"/>
      <c r="H26" s="1"/>
      <c r="I26" s="1" t="s">
        <v>297</v>
      </c>
      <c r="J26" s="1" t="s">
        <v>1113</v>
      </c>
      <c r="K26" s="1" t="s">
        <v>185</v>
      </c>
      <c r="L26" s="1" t="s">
        <v>290</v>
      </c>
      <c r="M26" s="3" t="s">
        <v>1117</v>
      </c>
      <c r="N26" s="4" t="s">
        <v>936</v>
      </c>
    </row>
    <row r="27" spans="1:15" ht="67.5" customHeight="1">
      <c r="A27" s="50" t="s">
        <v>111</v>
      </c>
      <c r="B27" s="1" t="s">
        <v>1005</v>
      </c>
      <c r="C27" s="1" t="s">
        <v>1088</v>
      </c>
      <c r="D27" s="1" t="s">
        <v>1118</v>
      </c>
      <c r="E27" s="1" t="s">
        <v>1119</v>
      </c>
      <c r="F27" s="2" t="s">
        <v>1009</v>
      </c>
      <c r="G27" s="1"/>
      <c r="H27" s="1"/>
      <c r="I27" s="1" t="s">
        <v>281</v>
      </c>
      <c r="J27" s="1" t="s">
        <v>1120</v>
      </c>
      <c r="K27" s="1" t="s">
        <v>1091</v>
      </c>
      <c r="L27" s="1" t="s">
        <v>290</v>
      </c>
      <c r="M27" s="3" t="s">
        <v>1121</v>
      </c>
      <c r="N27" s="4" t="s">
        <v>966</v>
      </c>
    </row>
    <row r="28" spans="1:15" ht="67.5" customHeight="1">
      <c r="A28" s="50" t="s">
        <v>111</v>
      </c>
      <c r="B28" s="1" t="s">
        <v>1122</v>
      </c>
      <c r="C28" s="1" t="s">
        <v>1123</v>
      </c>
      <c r="D28" s="1" t="s">
        <v>1124</v>
      </c>
      <c r="E28" s="1" t="s">
        <v>1125</v>
      </c>
      <c r="F28" s="2" t="s">
        <v>1009</v>
      </c>
      <c r="G28" s="1"/>
      <c r="H28" s="1"/>
      <c r="I28" s="1" t="s">
        <v>1126</v>
      </c>
      <c r="J28" s="1" t="s">
        <v>1127</v>
      </c>
      <c r="K28" s="1" t="s">
        <v>182</v>
      </c>
      <c r="L28" s="1" t="s">
        <v>290</v>
      </c>
      <c r="M28" s="3" t="s">
        <v>1128</v>
      </c>
      <c r="N28" s="4" t="s">
        <v>983</v>
      </c>
    </row>
    <row r="29" spans="1:15" ht="67.5" customHeight="1">
      <c r="A29" s="50" t="s">
        <v>111</v>
      </c>
      <c r="B29" s="1" t="s">
        <v>1129</v>
      </c>
      <c r="C29" s="1" t="s">
        <v>1130</v>
      </c>
      <c r="D29" s="1" t="s">
        <v>1131</v>
      </c>
      <c r="E29" s="1" t="s">
        <v>1132</v>
      </c>
      <c r="F29" s="5" t="s">
        <v>1024</v>
      </c>
      <c r="G29" s="1"/>
      <c r="H29" s="1"/>
      <c r="I29" s="29" t="s">
        <v>297</v>
      </c>
      <c r="J29" s="1" t="s">
        <v>1133</v>
      </c>
      <c r="K29" s="29" t="s">
        <v>182</v>
      </c>
      <c r="L29" s="29" t="s">
        <v>312</v>
      </c>
      <c r="M29" s="6" t="s">
        <v>1134</v>
      </c>
      <c r="N29" s="4" t="s">
        <v>1135</v>
      </c>
    </row>
    <row r="30" spans="1:15" s="21" customFormat="1" ht="86.25" customHeight="1">
      <c r="A30" s="57" t="s">
        <v>111</v>
      </c>
      <c r="B30" s="21" t="s">
        <v>1005</v>
      </c>
      <c r="C30" s="21" t="s">
        <v>1136</v>
      </c>
      <c r="D30" s="21" t="s">
        <v>1137</v>
      </c>
      <c r="E30" s="22" t="s">
        <v>1138</v>
      </c>
      <c r="F30" s="27" t="s">
        <v>1024</v>
      </c>
      <c r="G30"/>
      <c r="H30"/>
      <c r="I30" s="21" t="s">
        <v>297</v>
      </c>
      <c r="J30" s="21" t="s">
        <v>1139</v>
      </c>
      <c r="K30" s="29" t="s">
        <v>182</v>
      </c>
      <c r="L30" s="22" t="s">
        <v>1140</v>
      </c>
      <c r="M30" s="28" t="s">
        <v>1141</v>
      </c>
      <c r="N30" s="25" t="s">
        <v>1142</v>
      </c>
      <c r="O30" s="24"/>
    </row>
    <row r="31" spans="1:15" ht="71.25" customHeight="1">
      <c r="A31" s="57" t="s">
        <v>111</v>
      </c>
      <c r="B31" s="21" t="s">
        <v>1143</v>
      </c>
      <c r="C31" s="21" t="s">
        <v>1144</v>
      </c>
      <c r="D31" s="21" t="s">
        <v>1145</v>
      </c>
      <c r="E31" s="22" t="s">
        <v>1138</v>
      </c>
      <c r="F31" s="23" t="s">
        <v>296</v>
      </c>
      <c r="G31" s="21"/>
      <c r="H31" s="21"/>
      <c r="I31" s="21" t="s">
        <v>1146</v>
      </c>
      <c r="J31" s="21" t="s">
        <v>1147</v>
      </c>
      <c r="K31" s="29" t="s">
        <v>298</v>
      </c>
      <c r="L31" s="22" t="s">
        <v>1148</v>
      </c>
      <c r="M31" s="26" t="s">
        <v>1141</v>
      </c>
      <c r="N31" s="25" t="s">
        <v>1142</v>
      </c>
    </row>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N30" r:id="rId1" xr:uid="{00000000-0004-0000-0700-000000000000}"/>
    <hyperlink ref="N31" r:id="rId2" xr:uid="{00000000-0004-0000-0700-000001000000}"/>
  </hyperlinks>
  <pageMargins left="0.7" right="0.7" top="0.75" bottom="0.75" header="0.3" footer="0.3"/>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99"/>
  <sheetViews>
    <sheetView workbookViewId="0">
      <selection sqref="A1:G1"/>
    </sheetView>
  </sheetViews>
  <sheetFormatPr defaultColWidth="12.625" defaultRowHeight="14.25"/>
  <cols>
    <col min="1" max="2" width="38" customWidth="1"/>
    <col min="3" max="3" width="35" customWidth="1"/>
    <col min="4" max="4" width="48" customWidth="1"/>
    <col min="5" max="5" width="14" customWidth="1"/>
    <col min="6" max="6" width="34" customWidth="1"/>
    <col min="7" max="7" width="68" customWidth="1"/>
    <col min="8" max="26" width="8.625" customWidth="1"/>
  </cols>
  <sheetData>
    <row r="1" spans="1:7" ht="30" customHeight="1">
      <c r="A1" s="77" t="s">
        <v>1149</v>
      </c>
      <c r="B1" s="78"/>
      <c r="C1" s="78"/>
      <c r="D1" s="78"/>
      <c r="E1" s="78"/>
      <c r="F1" s="78"/>
      <c r="G1" s="78"/>
    </row>
    <row r="2" spans="1:7" ht="31.5" customHeight="1">
      <c r="A2" s="54" t="s">
        <v>1150</v>
      </c>
      <c r="B2" s="54" t="s">
        <v>1</v>
      </c>
      <c r="C2" s="54" t="s">
        <v>1151</v>
      </c>
      <c r="D2" s="54" t="s">
        <v>253</v>
      </c>
      <c r="E2" s="54" t="s">
        <v>1152</v>
      </c>
      <c r="F2" s="54" t="s">
        <v>1153</v>
      </c>
      <c r="G2" s="54" t="s">
        <v>1154</v>
      </c>
    </row>
    <row r="3" spans="1:7" ht="42" customHeight="1">
      <c r="A3" s="1" t="s">
        <v>880</v>
      </c>
      <c r="B3" s="1" t="s">
        <v>89</v>
      </c>
      <c r="C3" s="1" t="s">
        <v>8</v>
      </c>
      <c r="D3" s="1" t="s">
        <v>268</v>
      </c>
      <c r="E3" s="1">
        <v>1</v>
      </c>
      <c r="F3" s="1" t="s">
        <v>1155</v>
      </c>
      <c r="G3" s="4" t="s">
        <v>881</v>
      </c>
    </row>
    <row r="4" spans="1:7" ht="42" customHeight="1">
      <c r="A4" s="1" t="s">
        <v>866</v>
      </c>
      <c r="B4" s="1" t="s">
        <v>89</v>
      </c>
      <c r="C4" s="1" t="s">
        <v>1156</v>
      </c>
      <c r="D4" s="1" t="s">
        <v>1157</v>
      </c>
      <c r="E4" s="1">
        <v>3</v>
      </c>
      <c r="F4" s="1" t="s">
        <v>1155</v>
      </c>
      <c r="G4" s="4" t="s">
        <v>867</v>
      </c>
    </row>
    <row r="5" spans="1:7" ht="42" customHeight="1">
      <c r="A5" s="1" t="s">
        <v>1158</v>
      </c>
      <c r="B5" s="1" t="s">
        <v>89</v>
      </c>
      <c r="C5" s="1" t="s">
        <v>1159</v>
      </c>
      <c r="D5" s="1" t="s">
        <v>1160</v>
      </c>
      <c r="E5" s="1">
        <v>9</v>
      </c>
      <c r="F5" s="1" t="s">
        <v>1155</v>
      </c>
      <c r="G5" s="4" t="s">
        <v>840</v>
      </c>
    </row>
    <row r="6" spans="1:7" ht="42" customHeight="1">
      <c r="A6" s="1" t="s">
        <v>895</v>
      </c>
      <c r="B6" s="1" t="s">
        <v>89</v>
      </c>
      <c r="C6" s="1" t="s">
        <v>10</v>
      </c>
      <c r="D6" s="1" t="s">
        <v>297</v>
      </c>
      <c r="E6" s="1">
        <v>1</v>
      </c>
      <c r="F6" s="1" t="s">
        <v>1155</v>
      </c>
      <c r="G6" s="4" t="s">
        <v>896</v>
      </c>
    </row>
    <row r="7" spans="1:7" ht="42" customHeight="1">
      <c r="A7" s="1" t="s">
        <v>1161</v>
      </c>
      <c r="B7" s="1" t="s">
        <v>1162</v>
      </c>
      <c r="C7" s="1" t="s">
        <v>1163</v>
      </c>
      <c r="D7" s="1" t="s">
        <v>1164</v>
      </c>
      <c r="E7" s="1">
        <v>7</v>
      </c>
      <c r="F7" s="1" t="s">
        <v>1155</v>
      </c>
      <c r="G7" s="4" t="s">
        <v>966</v>
      </c>
    </row>
    <row r="8" spans="1:7" ht="42" customHeight="1">
      <c r="A8" s="1" t="s">
        <v>1133</v>
      </c>
      <c r="B8" s="1" t="s">
        <v>1162</v>
      </c>
      <c r="C8" s="1" t="s">
        <v>1165</v>
      </c>
      <c r="D8" s="1" t="s">
        <v>297</v>
      </c>
      <c r="E8" s="1">
        <v>1</v>
      </c>
      <c r="F8" s="1" t="s">
        <v>1166</v>
      </c>
      <c r="G8" s="4" t="s">
        <v>1135</v>
      </c>
    </row>
    <row r="9" spans="1:7" ht="42" customHeight="1">
      <c r="A9" s="1" t="s">
        <v>1167</v>
      </c>
      <c r="B9" s="1" t="s">
        <v>1162</v>
      </c>
      <c r="C9" s="1" t="s">
        <v>1156</v>
      </c>
      <c r="D9" s="1" t="s">
        <v>1168</v>
      </c>
      <c r="E9" s="1">
        <v>2</v>
      </c>
      <c r="F9" s="1" t="s">
        <v>1166</v>
      </c>
      <c r="G9" s="4" t="s">
        <v>983</v>
      </c>
    </row>
    <row r="10" spans="1:7" ht="42" customHeight="1">
      <c r="A10" s="1" t="s">
        <v>955</v>
      </c>
      <c r="B10" s="1" t="s">
        <v>1162</v>
      </c>
      <c r="C10" s="1" t="s">
        <v>3</v>
      </c>
      <c r="D10" s="1" t="s">
        <v>268</v>
      </c>
      <c r="E10" s="1">
        <v>1</v>
      </c>
      <c r="F10" s="1" t="s">
        <v>1155</v>
      </c>
      <c r="G10" s="4" t="s">
        <v>956</v>
      </c>
    </row>
    <row r="11" spans="1:7" ht="42" customHeight="1">
      <c r="A11" s="1" t="s">
        <v>962</v>
      </c>
      <c r="B11" s="1" t="s">
        <v>1162</v>
      </c>
      <c r="C11" s="1" t="s">
        <v>3</v>
      </c>
      <c r="D11" s="1" t="s">
        <v>268</v>
      </c>
      <c r="E11" s="1">
        <v>1</v>
      </c>
      <c r="F11" s="1" t="s">
        <v>1155</v>
      </c>
      <c r="G11" s="4" t="s">
        <v>963</v>
      </c>
    </row>
    <row r="12" spans="1:7" ht="42" customHeight="1">
      <c r="A12" s="1" t="s">
        <v>1059</v>
      </c>
      <c r="B12" s="1" t="s">
        <v>34</v>
      </c>
      <c r="C12" s="1" t="s">
        <v>1165</v>
      </c>
      <c r="D12" s="1" t="s">
        <v>1010</v>
      </c>
      <c r="E12" s="1">
        <v>1</v>
      </c>
      <c r="F12" s="1" t="s">
        <v>1166</v>
      </c>
      <c r="G12" s="4" t="s">
        <v>1061</v>
      </c>
    </row>
    <row r="13" spans="1:7" ht="42" customHeight="1">
      <c r="A13" s="1" t="s">
        <v>577</v>
      </c>
      <c r="B13" s="1" t="s">
        <v>34</v>
      </c>
      <c r="C13" s="1" t="s">
        <v>7</v>
      </c>
      <c r="D13" s="1" t="s">
        <v>268</v>
      </c>
      <c r="E13" s="1">
        <v>1</v>
      </c>
      <c r="F13" s="1" t="s">
        <v>1155</v>
      </c>
      <c r="G13" s="4" t="s">
        <v>578</v>
      </c>
    </row>
    <row r="14" spans="1:7" ht="42" customHeight="1">
      <c r="A14" s="1" t="s">
        <v>584</v>
      </c>
      <c r="B14" s="1" t="s">
        <v>34</v>
      </c>
      <c r="C14" s="1" t="s">
        <v>1169</v>
      </c>
      <c r="D14" s="1" t="s">
        <v>297</v>
      </c>
      <c r="E14" s="1">
        <v>3</v>
      </c>
      <c r="F14" s="1" t="s">
        <v>1155</v>
      </c>
      <c r="G14" s="4" t="s">
        <v>585</v>
      </c>
    </row>
    <row r="15" spans="1:7" ht="42" customHeight="1">
      <c r="A15" s="1" t="s">
        <v>1170</v>
      </c>
      <c r="B15" s="1" t="s">
        <v>34</v>
      </c>
      <c r="C15" s="1" t="s">
        <v>1171</v>
      </c>
      <c r="D15" s="1" t="s">
        <v>1160</v>
      </c>
      <c r="E15" s="1">
        <v>8</v>
      </c>
      <c r="F15" s="1" t="s">
        <v>1155</v>
      </c>
      <c r="G15" s="4" t="s">
        <v>547</v>
      </c>
    </row>
    <row r="16" spans="1:7" ht="42" customHeight="1">
      <c r="A16" s="1" t="s">
        <v>557</v>
      </c>
      <c r="B16" s="1" t="s">
        <v>34</v>
      </c>
      <c r="C16" s="1" t="s">
        <v>1172</v>
      </c>
      <c r="D16" s="1" t="s">
        <v>268</v>
      </c>
      <c r="E16" s="1">
        <v>2</v>
      </c>
      <c r="F16" s="1" t="s">
        <v>1155</v>
      </c>
      <c r="G16" s="4" t="s">
        <v>558</v>
      </c>
    </row>
    <row r="17" spans="1:7" ht="42" customHeight="1">
      <c r="A17" s="1" t="s">
        <v>1011</v>
      </c>
      <c r="B17" s="1" t="s">
        <v>1173</v>
      </c>
      <c r="C17" s="1" t="s">
        <v>1165</v>
      </c>
      <c r="D17" s="1" t="s">
        <v>1010</v>
      </c>
      <c r="E17" s="1">
        <v>3</v>
      </c>
      <c r="F17" s="1" t="s">
        <v>1166</v>
      </c>
      <c r="G17" s="4" t="s">
        <v>1014</v>
      </c>
    </row>
    <row r="18" spans="1:7" ht="42" customHeight="1">
      <c r="A18" s="1" t="s">
        <v>515</v>
      </c>
      <c r="B18" s="1" t="s">
        <v>23</v>
      </c>
      <c r="C18" s="1" t="s">
        <v>7</v>
      </c>
      <c r="D18" s="1" t="s">
        <v>268</v>
      </c>
      <c r="E18" s="1">
        <v>1</v>
      </c>
      <c r="F18" s="1" t="s">
        <v>1155</v>
      </c>
      <c r="G18" s="4" t="s">
        <v>516</v>
      </c>
    </row>
    <row r="19" spans="1:7" ht="42" customHeight="1">
      <c r="A19" s="1" t="s">
        <v>529</v>
      </c>
      <c r="B19" s="1" t="s">
        <v>23</v>
      </c>
      <c r="C19" s="1" t="s">
        <v>8</v>
      </c>
      <c r="D19" s="1" t="s">
        <v>297</v>
      </c>
      <c r="E19" s="1">
        <v>1</v>
      </c>
      <c r="F19" s="1" t="s">
        <v>1155</v>
      </c>
      <c r="G19" s="4" t="s">
        <v>530</v>
      </c>
    </row>
    <row r="20" spans="1:7" ht="42" customHeight="1">
      <c r="A20" s="1" t="s">
        <v>504</v>
      </c>
      <c r="B20" s="1" t="s">
        <v>23</v>
      </c>
      <c r="C20" s="1" t="s">
        <v>1174</v>
      </c>
      <c r="D20" s="1" t="s">
        <v>1175</v>
      </c>
      <c r="E20" s="1">
        <v>2</v>
      </c>
      <c r="F20" s="1" t="s">
        <v>1155</v>
      </c>
      <c r="G20" s="4" t="s">
        <v>505</v>
      </c>
    </row>
    <row r="21" spans="1:7" ht="42" customHeight="1">
      <c r="A21" s="1" t="s">
        <v>522</v>
      </c>
      <c r="B21" s="1" t="s">
        <v>23</v>
      </c>
      <c r="C21" s="1" t="s">
        <v>1176</v>
      </c>
      <c r="D21" s="1" t="s">
        <v>297</v>
      </c>
      <c r="E21" s="1">
        <v>2</v>
      </c>
      <c r="F21" s="1" t="s">
        <v>1155</v>
      </c>
      <c r="G21" s="4" t="s">
        <v>523</v>
      </c>
    </row>
    <row r="22" spans="1:7" ht="42" customHeight="1">
      <c r="A22" s="1" t="s">
        <v>475</v>
      </c>
      <c r="B22" s="1" t="s">
        <v>23</v>
      </c>
      <c r="C22" s="1" t="s">
        <v>1177</v>
      </c>
      <c r="D22" s="1" t="s">
        <v>297</v>
      </c>
      <c r="E22" s="1">
        <v>5</v>
      </c>
      <c r="F22" s="1" t="s">
        <v>1155</v>
      </c>
      <c r="G22" s="4" t="s">
        <v>476</v>
      </c>
    </row>
    <row r="23" spans="1:7" ht="42" customHeight="1">
      <c r="A23" s="1" t="s">
        <v>489</v>
      </c>
      <c r="B23" s="1" t="s">
        <v>23</v>
      </c>
      <c r="C23" s="1" t="s">
        <v>1178</v>
      </c>
      <c r="D23" s="1" t="s">
        <v>1179</v>
      </c>
      <c r="E23" s="1">
        <v>3</v>
      </c>
      <c r="F23" s="1" t="s">
        <v>1166</v>
      </c>
      <c r="G23" s="4" t="s">
        <v>490</v>
      </c>
    </row>
    <row r="24" spans="1:7" ht="42" customHeight="1">
      <c r="A24" s="1" t="s">
        <v>1180</v>
      </c>
      <c r="B24" s="1" t="s">
        <v>78</v>
      </c>
      <c r="C24" s="1" t="s">
        <v>1181</v>
      </c>
      <c r="D24" s="1" t="s">
        <v>1160</v>
      </c>
      <c r="E24" s="1">
        <v>10</v>
      </c>
      <c r="F24" s="1" t="s">
        <v>1155</v>
      </c>
      <c r="G24" s="4" t="s">
        <v>788</v>
      </c>
    </row>
    <row r="25" spans="1:7" ht="42" customHeight="1">
      <c r="A25" s="1" t="s">
        <v>807</v>
      </c>
      <c r="B25" s="1" t="s">
        <v>78</v>
      </c>
      <c r="C25" s="1" t="s">
        <v>7</v>
      </c>
      <c r="D25" s="1" t="s">
        <v>363</v>
      </c>
      <c r="E25" s="1">
        <v>1</v>
      </c>
      <c r="F25" s="1" t="s">
        <v>1166</v>
      </c>
      <c r="G25" s="4" t="s">
        <v>808</v>
      </c>
    </row>
    <row r="26" spans="1:7" ht="42" customHeight="1">
      <c r="A26" s="1" t="s">
        <v>835</v>
      </c>
      <c r="B26" s="1" t="s">
        <v>78</v>
      </c>
      <c r="C26" s="1" t="s">
        <v>10</v>
      </c>
      <c r="D26" s="1" t="s">
        <v>363</v>
      </c>
      <c r="E26" s="1">
        <v>1</v>
      </c>
      <c r="F26" s="1" t="s">
        <v>1166</v>
      </c>
      <c r="G26" s="4" t="s">
        <v>836</v>
      </c>
    </row>
    <row r="27" spans="1:7" ht="42" customHeight="1">
      <c r="A27" s="1" t="s">
        <v>1182</v>
      </c>
      <c r="B27" s="1" t="s">
        <v>100</v>
      </c>
      <c r="C27" s="1" t="s">
        <v>1183</v>
      </c>
      <c r="D27" s="1" t="s">
        <v>1175</v>
      </c>
      <c r="E27" s="1">
        <v>3</v>
      </c>
      <c r="F27" s="1" t="s">
        <v>1155</v>
      </c>
      <c r="G27" s="4" t="s">
        <v>936</v>
      </c>
    </row>
    <row r="28" spans="1:7" ht="42" customHeight="1">
      <c r="A28" s="1" t="s">
        <v>935</v>
      </c>
      <c r="B28" s="1" t="s">
        <v>100</v>
      </c>
      <c r="C28" s="1" t="s">
        <v>10</v>
      </c>
      <c r="D28" s="1" t="s">
        <v>297</v>
      </c>
      <c r="E28" s="1">
        <v>1</v>
      </c>
      <c r="F28" s="1" t="s">
        <v>1155</v>
      </c>
      <c r="G28" s="4" t="s">
        <v>945</v>
      </c>
    </row>
    <row r="29" spans="1:7" ht="42" customHeight="1">
      <c r="A29" s="1" t="s">
        <v>918</v>
      </c>
      <c r="B29" s="1" t="s">
        <v>100</v>
      </c>
      <c r="C29" s="1" t="s">
        <v>5</v>
      </c>
      <c r="D29" s="1" t="s">
        <v>268</v>
      </c>
      <c r="E29" s="1">
        <v>1</v>
      </c>
      <c r="F29" s="1" t="s">
        <v>1155</v>
      </c>
      <c r="G29" s="4" t="s">
        <v>919</v>
      </c>
    </row>
    <row r="30" spans="1:7" ht="42" customHeight="1">
      <c r="A30" s="1" t="s">
        <v>901</v>
      </c>
      <c r="B30" s="1" t="s">
        <v>100</v>
      </c>
      <c r="C30" s="1" t="s">
        <v>1181</v>
      </c>
      <c r="D30" s="1" t="s">
        <v>1175</v>
      </c>
      <c r="E30" s="1">
        <v>10</v>
      </c>
      <c r="F30" s="1" t="s">
        <v>1155</v>
      </c>
      <c r="G30" s="4" t="s">
        <v>902</v>
      </c>
    </row>
    <row r="31" spans="1:7" ht="57.75" customHeight="1">
      <c r="A31" s="1" t="s">
        <v>1184</v>
      </c>
      <c r="B31" s="1" t="s">
        <v>67</v>
      </c>
      <c r="C31" s="1" t="s">
        <v>1185</v>
      </c>
      <c r="D31" s="1" t="s">
        <v>1175</v>
      </c>
      <c r="E31" s="1">
        <v>11</v>
      </c>
      <c r="F31" s="1" t="s">
        <v>1155</v>
      </c>
      <c r="G31" s="4" t="s">
        <v>731</v>
      </c>
    </row>
    <row r="32" spans="1:7" ht="42" customHeight="1">
      <c r="A32" s="1" t="s">
        <v>724</v>
      </c>
      <c r="B32" s="1" t="s">
        <v>67</v>
      </c>
      <c r="C32" s="1" t="s">
        <v>3</v>
      </c>
      <c r="D32" s="1" t="s">
        <v>297</v>
      </c>
      <c r="E32" s="1">
        <v>1</v>
      </c>
      <c r="F32" s="1" t="s">
        <v>1155</v>
      </c>
      <c r="G32" s="4" t="s">
        <v>725</v>
      </c>
    </row>
    <row r="33" spans="1:7" ht="42" customHeight="1">
      <c r="A33" s="1" t="s">
        <v>1186</v>
      </c>
      <c r="B33" s="1" t="s">
        <v>1187</v>
      </c>
      <c r="C33" s="1" t="s">
        <v>1188</v>
      </c>
      <c r="D33" s="1" t="s">
        <v>1160</v>
      </c>
      <c r="E33" s="1">
        <v>5</v>
      </c>
      <c r="F33" s="1" t="s">
        <v>1155</v>
      </c>
      <c r="G33" s="4" t="s">
        <v>291</v>
      </c>
    </row>
    <row r="34" spans="1:7" ht="42" customHeight="1">
      <c r="A34" s="1" t="s">
        <v>367</v>
      </c>
      <c r="B34" s="1" t="s">
        <v>12</v>
      </c>
      <c r="C34" s="1" t="s">
        <v>1174</v>
      </c>
      <c r="D34" s="1" t="s">
        <v>363</v>
      </c>
      <c r="E34" s="1">
        <v>2</v>
      </c>
      <c r="F34" s="1" t="s">
        <v>1166</v>
      </c>
      <c r="G34" s="4" t="s">
        <v>368</v>
      </c>
    </row>
    <row r="35" spans="1:7" ht="42" customHeight="1">
      <c r="A35" s="1" t="s">
        <v>367</v>
      </c>
      <c r="B35" s="1" t="s">
        <v>12</v>
      </c>
      <c r="C35" s="1" t="s">
        <v>7</v>
      </c>
      <c r="D35" s="1" t="s">
        <v>363</v>
      </c>
      <c r="E35" s="1">
        <v>2</v>
      </c>
      <c r="F35" s="1" t="s">
        <v>1166</v>
      </c>
      <c r="G35" s="4" t="s">
        <v>376</v>
      </c>
    </row>
    <row r="36" spans="1:7" ht="42" customHeight="1">
      <c r="A36" s="1" t="s">
        <v>367</v>
      </c>
      <c r="B36" s="1" t="s">
        <v>12</v>
      </c>
      <c r="C36" s="1" t="s">
        <v>1189</v>
      </c>
      <c r="D36" s="1" t="s">
        <v>363</v>
      </c>
      <c r="E36" s="1">
        <v>4</v>
      </c>
      <c r="F36" s="1" t="s">
        <v>1166</v>
      </c>
      <c r="G36" s="4" t="s">
        <v>415</v>
      </c>
    </row>
    <row r="37" spans="1:7" ht="42" customHeight="1">
      <c r="A37" s="1" t="s">
        <v>1038</v>
      </c>
      <c r="B37" s="1" t="s">
        <v>12</v>
      </c>
      <c r="C37" s="1" t="s">
        <v>1165</v>
      </c>
      <c r="D37" s="1" t="s">
        <v>1037</v>
      </c>
      <c r="E37" s="1">
        <v>1</v>
      </c>
      <c r="F37" s="1" t="s">
        <v>1166</v>
      </c>
      <c r="G37" s="4" t="s">
        <v>1041</v>
      </c>
    </row>
    <row r="38" spans="1:7" ht="42" customHeight="1">
      <c r="A38" s="1" t="s">
        <v>1029</v>
      </c>
      <c r="B38" s="1" t="s">
        <v>12</v>
      </c>
      <c r="C38" s="1" t="s">
        <v>1165</v>
      </c>
      <c r="D38" s="1" t="s">
        <v>297</v>
      </c>
      <c r="E38" s="1">
        <v>1</v>
      </c>
      <c r="F38" s="1" t="s">
        <v>1155</v>
      </c>
      <c r="G38" s="4" t="s">
        <v>1031</v>
      </c>
    </row>
    <row r="39" spans="1:7" ht="42" customHeight="1">
      <c r="A39" s="1" t="s">
        <v>1190</v>
      </c>
      <c r="B39" s="1" t="s">
        <v>12</v>
      </c>
      <c r="C39" s="1" t="s">
        <v>1191</v>
      </c>
      <c r="D39" s="1" t="s">
        <v>1160</v>
      </c>
      <c r="E39" s="1">
        <v>22</v>
      </c>
      <c r="F39" s="1" t="s">
        <v>1155</v>
      </c>
      <c r="G39" s="4" t="s">
        <v>285</v>
      </c>
    </row>
    <row r="40" spans="1:7" ht="42" customHeight="1">
      <c r="A40" s="1" t="s">
        <v>275</v>
      </c>
      <c r="B40" s="1" t="s">
        <v>12</v>
      </c>
      <c r="C40" s="1" t="s">
        <v>8</v>
      </c>
      <c r="D40" s="1" t="s">
        <v>268</v>
      </c>
      <c r="E40" s="1">
        <v>1</v>
      </c>
      <c r="F40" s="1" t="s">
        <v>1155</v>
      </c>
      <c r="G40" s="4" t="s">
        <v>433</v>
      </c>
    </row>
    <row r="41" spans="1:7" ht="42" customHeight="1">
      <c r="A41" s="1" t="s">
        <v>1192</v>
      </c>
      <c r="B41" s="1" t="s">
        <v>56</v>
      </c>
      <c r="C41" s="1" t="s">
        <v>1193</v>
      </c>
      <c r="D41" s="1" t="s">
        <v>1175</v>
      </c>
      <c r="E41" s="1">
        <v>5</v>
      </c>
      <c r="F41" s="1" t="s">
        <v>1155</v>
      </c>
      <c r="G41" s="4" t="s">
        <v>669</v>
      </c>
    </row>
    <row r="42" spans="1:7" ht="42" customHeight="1">
      <c r="A42" s="1" t="s">
        <v>685</v>
      </c>
      <c r="B42" s="1" t="s">
        <v>56</v>
      </c>
      <c r="C42" s="1" t="s">
        <v>5</v>
      </c>
      <c r="D42" s="1" t="s">
        <v>268</v>
      </c>
      <c r="E42" s="1">
        <v>1</v>
      </c>
      <c r="F42" s="1" t="s">
        <v>1155</v>
      </c>
      <c r="G42" s="4" t="s">
        <v>686</v>
      </c>
    </row>
    <row r="43" spans="1:7" ht="42" customHeight="1">
      <c r="A43" s="1" t="s">
        <v>673</v>
      </c>
      <c r="B43" s="1" t="s">
        <v>56</v>
      </c>
      <c r="C43" s="1" t="s">
        <v>1194</v>
      </c>
      <c r="D43" s="1" t="s">
        <v>1175</v>
      </c>
      <c r="E43" s="1">
        <v>5</v>
      </c>
      <c r="F43" s="1" t="s">
        <v>1155</v>
      </c>
      <c r="G43" s="4" t="s">
        <v>674</v>
      </c>
    </row>
    <row r="44" spans="1:7" ht="42" customHeight="1">
      <c r="A44" s="1" t="s">
        <v>695</v>
      </c>
      <c r="B44" s="1" t="s">
        <v>56</v>
      </c>
      <c r="C44" s="1" t="s">
        <v>6</v>
      </c>
      <c r="D44" s="1" t="s">
        <v>297</v>
      </c>
      <c r="E44" s="1">
        <v>1</v>
      </c>
      <c r="F44" s="1" t="s">
        <v>1155</v>
      </c>
      <c r="G44" s="4" t="s">
        <v>696</v>
      </c>
    </row>
    <row r="45" spans="1:7" ht="42" customHeight="1">
      <c r="A45" s="1" t="s">
        <v>1064</v>
      </c>
      <c r="B45" s="1" t="s">
        <v>45</v>
      </c>
      <c r="C45" s="1" t="s">
        <v>1165</v>
      </c>
      <c r="D45" s="1" t="s">
        <v>1037</v>
      </c>
      <c r="E45" s="1">
        <v>1</v>
      </c>
      <c r="F45" s="1" t="s">
        <v>1166</v>
      </c>
      <c r="G45" s="4" t="s">
        <v>1066</v>
      </c>
    </row>
    <row r="46" spans="1:7" ht="42" customHeight="1">
      <c r="A46" s="1" t="s">
        <v>1195</v>
      </c>
      <c r="B46" s="1" t="s">
        <v>45</v>
      </c>
      <c r="C46" s="1" t="s">
        <v>1196</v>
      </c>
      <c r="D46" s="1" t="s">
        <v>297</v>
      </c>
      <c r="E46" s="1">
        <v>4</v>
      </c>
      <c r="F46" s="1" t="s">
        <v>1155</v>
      </c>
      <c r="G46" s="4" t="s">
        <v>626</v>
      </c>
    </row>
    <row r="47" spans="1:7" ht="42" customHeight="1">
      <c r="A47" s="1" t="s">
        <v>1092</v>
      </c>
      <c r="B47" s="1" t="s">
        <v>45</v>
      </c>
      <c r="C47" s="1" t="s">
        <v>7</v>
      </c>
      <c r="D47" s="1" t="s">
        <v>281</v>
      </c>
      <c r="E47" s="1">
        <v>1</v>
      </c>
      <c r="F47" s="1" t="s">
        <v>1155</v>
      </c>
      <c r="G47" s="4" t="s">
        <v>642</v>
      </c>
    </row>
    <row r="48" spans="1:7" ht="42" customHeight="1">
      <c r="A48" s="1" t="s">
        <v>1197</v>
      </c>
      <c r="B48" s="1" t="s">
        <v>45</v>
      </c>
      <c r="C48" s="1" t="s">
        <v>1198</v>
      </c>
      <c r="D48" s="1" t="s">
        <v>1175</v>
      </c>
      <c r="E48" s="1">
        <v>6</v>
      </c>
      <c r="F48" s="1" t="s">
        <v>1155</v>
      </c>
      <c r="G48" s="4" t="s">
        <v>614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Tóm tắt profile</vt:lpstr>
      <vt:lpstr>Trọng tâm triển khai</vt:lpstr>
      <vt:lpstr>Mức độ xác minh dữ kiện</vt:lpstr>
      <vt:lpstr>Dimensions coverage</vt:lpstr>
      <vt:lpstr>Resort coverage</vt:lpstr>
      <vt:lpstr>Kết luận</vt:lpstr>
      <vt:lpstr>Dữ liệu thô</vt:lpstr>
      <vt:lpstr>Quản lý &amp; Tích hợp</vt:lpstr>
      <vt:lpstr>Nguồn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Thiên Ngân</cp:lastModifiedBy>
  <dcterms:created xsi:type="dcterms:W3CDTF">2026-10-02T15:34:09Z</dcterms:created>
  <dcterms:modified xsi:type="dcterms:W3CDTF">2026-10-02T17:25:16Z</dcterms:modified>
</cp:coreProperties>
</file>