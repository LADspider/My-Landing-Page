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ntern\New folder\P&amp;L project\"/>
    </mc:Choice>
  </mc:AlternateContent>
  <xr:revisionPtr revIDLastSave="0" documentId="13_ncr:1_{189C805F-1D7B-4F7B-9285-294CA27CD79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ssumptions" sheetId="1" r:id="rId1"/>
    <sheet name="Pro Forma P&amp;L" sheetId="2" r:id="rId2"/>
    <sheet name="Scenario Comparison" sheetId="3" r:id="rId3"/>
  </sheets>
  <calcPr calcId="191029"/>
</workbook>
</file>

<file path=xl/calcChain.xml><?xml version="1.0" encoding="utf-8"?>
<calcChain xmlns="http://schemas.openxmlformats.org/spreadsheetml/2006/main">
  <c r="C5" i="3" l="1"/>
  <c r="D5" i="3" s="1"/>
  <c r="C4" i="3"/>
  <c r="D4" i="3" s="1"/>
  <c r="N13" i="2"/>
  <c r="M7" i="2"/>
  <c r="L7" i="2"/>
  <c r="K7" i="2"/>
  <c r="J7" i="2"/>
  <c r="I7" i="2"/>
  <c r="H7" i="2"/>
  <c r="G7" i="2"/>
  <c r="F7" i="2"/>
  <c r="E7" i="2"/>
  <c r="D7" i="2"/>
  <c r="C7" i="2"/>
  <c r="B7" i="2"/>
  <c r="M5" i="2"/>
  <c r="L5" i="2"/>
  <c r="K5" i="2"/>
  <c r="J5" i="2"/>
  <c r="I5" i="2"/>
  <c r="H5" i="2"/>
  <c r="G5" i="2"/>
  <c r="F5" i="2"/>
  <c r="E5" i="2"/>
  <c r="D5" i="2"/>
  <c r="C5" i="2"/>
  <c r="B5" i="2"/>
  <c r="M4" i="2"/>
  <c r="M6" i="2" s="1"/>
  <c r="L4" i="2"/>
  <c r="L6" i="2" s="1"/>
  <c r="L10" i="2" s="1"/>
  <c r="K4" i="2"/>
  <c r="K6" i="2" s="1"/>
  <c r="K10" i="2" s="1"/>
  <c r="J4" i="2"/>
  <c r="J6" i="2" s="1"/>
  <c r="J10" i="2" s="1"/>
  <c r="I4" i="2"/>
  <c r="I6" i="2" s="1"/>
  <c r="H4" i="2"/>
  <c r="H6" i="2" s="1"/>
  <c r="H10" i="2" s="1"/>
  <c r="G4" i="2"/>
  <c r="G6" i="2" s="1"/>
  <c r="G10" i="2" s="1"/>
  <c r="G17" i="2" s="1"/>
  <c r="F4" i="2"/>
  <c r="F6" i="2" s="1"/>
  <c r="F10" i="2" s="1"/>
  <c r="F12" i="2" s="1"/>
  <c r="E4" i="2"/>
  <c r="E6" i="2" s="1"/>
  <c r="D4" i="2"/>
  <c r="D6" i="2" s="1"/>
  <c r="D10" i="2" s="1"/>
  <c r="C4" i="2"/>
  <c r="C6" i="2" s="1"/>
  <c r="C10" i="2" s="1"/>
  <c r="B4" i="2"/>
  <c r="B6" i="2" s="1"/>
  <c r="B10" i="2" s="1"/>
  <c r="N7" i="1"/>
  <c r="N6" i="1"/>
  <c r="N5" i="1"/>
  <c r="N4" i="1"/>
  <c r="B12" i="2" l="1"/>
  <c r="B34" i="2" s="1"/>
  <c r="B18" i="2"/>
  <c r="E10" i="2"/>
  <c r="E19" i="2" s="1"/>
  <c r="I10" i="2"/>
  <c r="I19" i="2" s="1"/>
  <c r="M10" i="2"/>
  <c r="M12" i="2" s="1"/>
  <c r="L19" i="2"/>
  <c r="L18" i="2"/>
  <c r="L12" i="2"/>
  <c r="L17" i="2"/>
  <c r="L11" i="2"/>
  <c r="D19" i="2"/>
  <c r="D18" i="2"/>
  <c r="D12" i="2"/>
  <c r="D17" i="2"/>
  <c r="D11" i="2"/>
  <c r="F34" i="2"/>
  <c r="F33" i="2"/>
  <c r="C19" i="2"/>
  <c r="C18" i="2"/>
  <c r="C12" i="2"/>
  <c r="H19" i="2"/>
  <c r="H18" i="2"/>
  <c r="H12" i="2"/>
  <c r="H14" i="2" s="1"/>
  <c r="H17" i="2"/>
  <c r="H20" i="2" s="1"/>
  <c r="H21" i="2" s="1"/>
  <c r="H22" i="2" s="1"/>
  <c r="H11" i="2"/>
  <c r="J17" i="2"/>
  <c r="J11" i="2"/>
  <c r="J19" i="2"/>
  <c r="B33" i="2"/>
  <c r="C17" i="2"/>
  <c r="F18" i="2"/>
  <c r="K19" i="2"/>
  <c r="K18" i="2"/>
  <c r="K12" i="2"/>
  <c r="E18" i="2"/>
  <c r="I11" i="2"/>
  <c r="M18" i="2"/>
  <c r="M17" i="2"/>
  <c r="M11" i="2"/>
  <c r="N6" i="2"/>
  <c r="C11" i="2"/>
  <c r="C14" i="2" s="1"/>
  <c r="J18" i="2"/>
  <c r="M19" i="2"/>
  <c r="G19" i="2"/>
  <c r="G18" i="2"/>
  <c r="G12" i="2"/>
  <c r="F17" i="2"/>
  <c r="F11" i="2"/>
  <c r="F14" i="2" s="1"/>
  <c r="F19" i="2"/>
  <c r="K11" i="2"/>
  <c r="N4" i="2"/>
  <c r="B17" i="2"/>
  <c r="B11" i="2"/>
  <c r="B14" i="2" s="1"/>
  <c r="B19" i="2"/>
  <c r="G11" i="2"/>
  <c r="G14" i="2" s="1"/>
  <c r="J12" i="2"/>
  <c r="K17" i="2"/>
  <c r="K20" i="2" s="1"/>
  <c r="I17" i="2" l="1"/>
  <c r="C20" i="2"/>
  <c r="C21" i="2" s="1"/>
  <c r="C22" i="2" s="1"/>
  <c r="D14" i="2"/>
  <c r="I12" i="2"/>
  <c r="I34" i="2" s="1"/>
  <c r="I18" i="2"/>
  <c r="F35" i="2"/>
  <c r="F36" i="2" s="1"/>
  <c r="F37" i="2" s="1"/>
  <c r="N19" i="2"/>
  <c r="E11" i="2"/>
  <c r="E26" i="2" s="1"/>
  <c r="N18" i="2"/>
  <c r="I4" i="3" s="1"/>
  <c r="N10" i="2"/>
  <c r="N7" i="2" s="1"/>
  <c r="G20" i="2"/>
  <c r="E17" i="2"/>
  <c r="E20" i="2" s="1"/>
  <c r="F20" i="2"/>
  <c r="F21" i="2" s="1"/>
  <c r="F22" i="2" s="1"/>
  <c r="E12" i="2"/>
  <c r="E34" i="2" s="1"/>
  <c r="L14" i="2"/>
  <c r="L46" i="2" s="1"/>
  <c r="G21" i="2"/>
  <c r="G22" i="2" s="1"/>
  <c r="C9" i="3"/>
  <c r="D9" i="3" s="1"/>
  <c r="E9" i="3" s="1"/>
  <c r="K26" i="2"/>
  <c r="K25" i="2"/>
  <c r="K27" i="2"/>
  <c r="E27" i="2"/>
  <c r="K14" i="2"/>
  <c r="M20" i="2"/>
  <c r="K34" i="2"/>
  <c r="K33" i="2"/>
  <c r="J20" i="2"/>
  <c r="C34" i="2"/>
  <c r="N12" i="2"/>
  <c r="C33" i="2"/>
  <c r="C35" i="2" s="1"/>
  <c r="C36" i="2" s="1"/>
  <c r="C37" i="2" s="1"/>
  <c r="D56" i="2"/>
  <c r="D49" i="2"/>
  <c r="D45" i="2"/>
  <c r="D48" i="2"/>
  <c r="D58" i="2"/>
  <c r="D47" i="2"/>
  <c r="D46" i="2"/>
  <c r="D34" i="2"/>
  <c r="D33" i="2"/>
  <c r="L25" i="2"/>
  <c r="L28" i="2" s="1"/>
  <c r="L29" i="2" s="1"/>
  <c r="L30" i="2" s="1"/>
  <c r="L27" i="2"/>
  <c r="L26" i="2"/>
  <c r="B20" i="2"/>
  <c r="C26" i="2"/>
  <c r="C25" i="2"/>
  <c r="C27" i="2"/>
  <c r="J34" i="2"/>
  <c r="J33" i="2"/>
  <c r="B58" i="2"/>
  <c r="B47" i="2"/>
  <c r="B46" i="2"/>
  <c r="B56" i="2"/>
  <c r="B49" i="2"/>
  <c r="B45" i="2"/>
  <c r="B48" i="2"/>
  <c r="F58" i="2"/>
  <c r="F47" i="2"/>
  <c r="F46" i="2"/>
  <c r="F56" i="2"/>
  <c r="F49" i="2"/>
  <c r="F45" i="2"/>
  <c r="F48" i="2"/>
  <c r="G34" i="2"/>
  <c r="G33" i="2"/>
  <c r="N5" i="2"/>
  <c r="I27" i="2"/>
  <c r="I26" i="2"/>
  <c r="I25" i="2"/>
  <c r="H34" i="2"/>
  <c r="H33" i="2"/>
  <c r="D25" i="2"/>
  <c r="D27" i="2"/>
  <c r="D26" i="2"/>
  <c r="L20" i="2"/>
  <c r="M27" i="2"/>
  <c r="M26" i="2"/>
  <c r="M25" i="2"/>
  <c r="J27" i="2"/>
  <c r="J26" i="2"/>
  <c r="J25" i="2"/>
  <c r="C46" i="2"/>
  <c r="C56" i="2"/>
  <c r="C49" i="2"/>
  <c r="C45" i="2"/>
  <c r="C48" i="2"/>
  <c r="C47" i="2"/>
  <c r="C58" i="2"/>
  <c r="L34" i="2"/>
  <c r="L33" i="2"/>
  <c r="H56" i="2"/>
  <c r="H49" i="2"/>
  <c r="H45" i="2"/>
  <c r="H48" i="2"/>
  <c r="H58" i="2"/>
  <c r="H47" i="2"/>
  <c r="H46" i="2"/>
  <c r="G46" i="2"/>
  <c r="G56" i="2"/>
  <c r="G49" i="2"/>
  <c r="G45" i="2"/>
  <c r="G48" i="2"/>
  <c r="G47" i="2"/>
  <c r="G58" i="2"/>
  <c r="G26" i="2"/>
  <c r="G25" i="2"/>
  <c r="G27" i="2"/>
  <c r="B27" i="2"/>
  <c r="B26" i="2"/>
  <c r="B25" i="2"/>
  <c r="K21" i="2"/>
  <c r="K22" i="2" s="1"/>
  <c r="F27" i="2"/>
  <c r="F26" i="2"/>
  <c r="F25" i="2"/>
  <c r="M14" i="2"/>
  <c r="M34" i="2"/>
  <c r="M33" i="2"/>
  <c r="I20" i="2"/>
  <c r="E33" i="2"/>
  <c r="B35" i="2"/>
  <c r="J14" i="2"/>
  <c r="H25" i="2"/>
  <c r="H27" i="2"/>
  <c r="H26" i="2"/>
  <c r="D20" i="2"/>
  <c r="N11" i="2" l="1"/>
  <c r="N17" i="2"/>
  <c r="D35" i="2"/>
  <c r="D36" i="2" s="1"/>
  <c r="D37" i="2" s="1"/>
  <c r="L58" i="2"/>
  <c r="N34" i="2"/>
  <c r="E14" i="2"/>
  <c r="I33" i="2"/>
  <c r="I35" i="2" s="1"/>
  <c r="I36" i="2" s="1"/>
  <c r="I37" i="2" s="1"/>
  <c r="L35" i="2"/>
  <c r="L36" i="2" s="1"/>
  <c r="L37" i="2" s="1"/>
  <c r="L48" i="2"/>
  <c r="I14" i="2"/>
  <c r="G35" i="2"/>
  <c r="G36" i="2" s="1"/>
  <c r="G37" i="2" s="1"/>
  <c r="J35" i="2"/>
  <c r="J36" i="2" s="1"/>
  <c r="J37" i="2" s="1"/>
  <c r="E25" i="2"/>
  <c r="L56" i="2"/>
  <c r="F28" i="2"/>
  <c r="F29" i="2" s="1"/>
  <c r="F30" i="2" s="1"/>
  <c r="D28" i="2"/>
  <c r="D29" i="2" s="1"/>
  <c r="D30" i="2" s="1"/>
  <c r="K28" i="2"/>
  <c r="K29" i="2" s="1"/>
  <c r="K30" i="2" s="1"/>
  <c r="L45" i="2"/>
  <c r="G50" i="2"/>
  <c r="J28" i="2"/>
  <c r="J29" i="2" s="1"/>
  <c r="J30" i="2" s="1"/>
  <c r="L47" i="2"/>
  <c r="L49" i="2"/>
  <c r="C28" i="2"/>
  <c r="C29" i="2" s="1"/>
  <c r="C30" i="2" s="1"/>
  <c r="E28" i="2"/>
  <c r="E29" i="2" s="1"/>
  <c r="E30" i="2" s="1"/>
  <c r="N25" i="2"/>
  <c r="B28" i="2"/>
  <c r="B40" i="2" s="1"/>
  <c r="B50" i="2"/>
  <c r="J21" i="2"/>
  <c r="J22" i="2" s="1"/>
  <c r="E21" i="2"/>
  <c r="E22" i="2" s="1"/>
  <c r="H28" i="2"/>
  <c r="B36" i="2"/>
  <c r="E48" i="2"/>
  <c r="E58" i="2"/>
  <c r="E47" i="2"/>
  <c r="E46" i="2"/>
  <c r="E56" i="2"/>
  <c r="E49" i="2"/>
  <c r="E45" i="2"/>
  <c r="H50" i="2"/>
  <c r="M28" i="2"/>
  <c r="M29" i="2" s="1"/>
  <c r="M30" i="2" s="1"/>
  <c r="L40" i="2"/>
  <c r="L41" i="2" s="1"/>
  <c r="L21" i="2"/>
  <c r="L22" i="2" s="1"/>
  <c r="D50" i="2"/>
  <c r="K35" i="2"/>
  <c r="K36" i="2" s="1"/>
  <c r="K37" i="2" s="1"/>
  <c r="M21" i="2"/>
  <c r="M22" i="2" s="1"/>
  <c r="L50" i="2"/>
  <c r="D21" i="2"/>
  <c r="D22" i="2" s="1"/>
  <c r="E35" i="2"/>
  <c r="E36" i="2" s="1"/>
  <c r="E37" i="2" s="1"/>
  <c r="I21" i="2"/>
  <c r="I22" i="2" s="1"/>
  <c r="M48" i="2"/>
  <c r="M58" i="2"/>
  <c r="M47" i="2"/>
  <c r="M46" i="2"/>
  <c r="M49" i="2"/>
  <c r="M45" i="2"/>
  <c r="M56" i="2"/>
  <c r="N26" i="2"/>
  <c r="G28" i="2"/>
  <c r="H35" i="2"/>
  <c r="H36" i="2" s="1"/>
  <c r="H37" i="2" s="1"/>
  <c r="I28" i="2"/>
  <c r="I29" i="2" s="1"/>
  <c r="I30" i="2" s="1"/>
  <c r="K46" i="2"/>
  <c r="K56" i="2"/>
  <c r="K49" i="2"/>
  <c r="K45" i="2"/>
  <c r="K48" i="2"/>
  <c r="K58" i="2"/>
  <c r="K47" i="2"/>
  <c r="N27" i="2"/>
  <c r="J58" i="2"/>
  <c r="J47" i="2"/>
  <c r="J46" i="2"/>
  <c r="J56" i="2"/>
  <c r="J49" i="2"/>
  <c r="J45" i="2"/>
  <c r="J48" i="2"/>
  <c r="M35" i="2"/>
  <c r="M36" i="2" s="1"/>
  <c r="M37" i="2" s="1"/>
  <c r="C50" i="2"/>
  <c r="F50" i="2"/>
  <c r="N14" i="2"/>
  <c r="N20" i="2"/>
  <c r="B21" i="2"/>
  <c r="J50" i="2" l="1"/>
  <c r="M50" i="2"/>
  <c r="N49" i="2"/>
  <c r="I48" i="2"/>
  <c r="I56" i="2"/>
  <c r="I58" i="2"/>
  <c r="N58" i="2" s="1"/>
  <c r="I49" i="2"/>
  <c r="I47" i="2"/>
  <c r="I45" i="2"/>
  <c r="I46" i="2"/>
  <c r="N46" i="2" s="1"/>
  <c r="D40" i="2"/>
  <c r="D41" i="2" s="1"/>
  <c r="F40" i="2"/>
  <c r="F41" i="2" s="1"/>
  <c r="F42" i="2" s="1"/>
  <c r="C40" i="2"/>
  <c r="C41" i="2" s="1"/>
  <c r="N33" i="2"/>
  <c r="N56" i="2"/>
  <c r="N48" i="2"/>
  <c r="N47" i="2"/>
  <c r="M40" i="2"/>
  <c r="M41" i="2" s="1"/>
  <c r="M42" i="2" s="1"/>
  <c r="J40" i="2"/>
  <c r="J41" i="2" s="1"/>
  <c r="I5" i="3"/>
  <c r="C11" i="3"/>
  <c r="D11" i="3" s="1"/>
  <c r="E11" i="3" s="1"/>
  <c r="H40" i="2"/>
  <c r="H41" i="2" s="1"/>
  <c r="H29" i="2"/>
  <c r="H30" i="2" s="1"/>
  <c r="K50" i="2"/>
  <c r="N45" i="2"/>
  <c r="K40" i="2"/>
  <c r="K41" i="2" s="1"/>
  <c r="G40" i="2"/>
  <c r="G41" i="2" s="1"/>
  <c r="G29" i="2"/>
  <c r="G30" i="2" s="1"/>
  <c r="E50" i="2"/>
  <c r="B37" i="2"/>
  <c r="N36" i="2"/>
  <c r="N37" i="2" s="1"/>
  <c r="E40" i="2"/>
  <c r="E41" i="2" s="1"/>
  <c r="J52" i="2"/>
  <c r="J42" i="2"/>
  <c r="D42" i="2"/>
  <c r="D52" i="2"/>
  <c r="B41" i="2"/>
  <c r="I40" i="2"/>
  <c r="I41" i="2" s="1"/>
  <c r="C42" i="2"/>
  <c r="C52" i="2"/>
  <c r="N21" i="2"/>
  <c r="B22" i="2"/>
  <c r="L42" i="2"/>
  <c r="L52" i="2"/>
  <c r="N35" i="2"/>
  <c r="N28" i="2"/>
  <c r="B29" i="2"/>
  <c r="I50" i="2" l="1"/>
  <c r="N50" i="2" s="1"/>
  <c r="C13" i="3" s="1"/>
  <c r="D13" i="3" s="1"/>
  <c r="E13" i="3" s="1"/>
  <c r="F52" i="2"/>
  <c r="M52" i="2"/>
  <c r="M53" i="2" s="1"/>
  <c r="I42" i="2"/>
  <c r="E42" i="2"/>
  <c r="E52" i="2"/>
  <c r="K42" i="2"/>
  <c r="K52" i="2"/>
  <c r="H42" i="2"/>
  <c r="H52" i="2"/>
  <c r="C10" i="3"/>
  <c r="D10" i="3" s="1"/>
  <c r="E10" i="3" s="1"/>
  <c r="N22" i="2"/>
  <c r="B52" i="2"/>
  <c r="N41" i="2"/>
  <c r="N42" i="2" s="1"/>
  <c r="B42" i="2"/>
  <c r="G42" i="2"/>
  <c r="G52" i="2"/>
  <c r="B30" i="2"/>
  <c r="N29" i="2"/>
  <c r="N30" i="2" s="1"/>
  <c r="D53" i="2"/>
  <c r="C25" i="3"/>
  <c r="D25" i="3" s="1"/>
  <c r="D57" i="2"/>
  <c r="D60" i="2" s="1"/>
  <c r="L53" i="2"/>
  <c r="L57" i="2"/>
  <c r="L60" i="2" s="1"/>
  <c r="C33" i="3"/>
  <c r="D33" i="3" s="1"/>
  <c r="C57" i="2"/>
  <c r="C60" i="2" s="1"/>
  <c r="C53" i="2"/>
  <c r="C24" i="3"/>
  <c r="D24" i="3" s="1"/>
  <c r="N40" i="2"/>
  <c r="C12" i="3" s="1"/>
  <c r="D12" i="3" s="1"/>
  <c r="E12" i="3" s="1"/>
  <c r="J57" i="2"/>
  <c r="C31" i="3"/>
  <c r="D31" i="3" s="1"/>
  <c r="J60" i="2"/>
  <c r="J53" i="2"/>
  <c r="C34" i="3"/>
  <c r="D34" i="3" s="1"/>
  <c r="M57" i="2" l="1"/>
  <c r="M60" i="2" s="1"/>
  <c r="C27" i="3"/>
  <c r="D27" i="3" s="1"/>
  <c r="F57" i="2"/>
  <c r="F60" i="2" s="1"/>
  <c r="F53" i="2"/>
  <c r="I52" i="2"/>
  <c r="F24" i="3"/>
  <c r="G24" i="3" s="1"/>
  <c r="C61" i="2"/>
  <c r="F34" i="3"/>
  <c r="G34" i="3" s="1"/>
  <c r="M61" i="2"/>
  <c r="L61" i="2"/>
  <c r="F33" i="3"/>
  <c r="G33" i="3" s="1"/>
  <c r="E60" i="2"/>
  <c r="E53" i="2"/>
  <c r="E57" i="2"/>
  <c r="C26" i="3"/>
  <c r="D26" i="3" s="1"/>
  <c r="F31" i="3"/>
  <c r="G31" i="3" s="1"/>
  <c r="J61" i="2"/>
  <c r="K57" i="2"/>
  <c r="K60" i="2"/>
  <c r="K53" i="2"/>
  <c r="C32" i="3"/>
  <c r="D32" i="3" s="1"/>
  <c r="I53" i="2"/>
  <c r="I57" i="2"/>
  <c r="I60" i="2" s="1"/>
  <c r="C30" i="3"/>
  <c r="D30" i="3" s="1"/>
  <c r="D61" i="2"/>
  <c r="F25" i="3"/>
  <c r="G25" i="3" s="1"/>
  <c r="H60" i="2"/>
  <c r="H53" i="2"/>
  <c r="C29" i="3"/>
  <c r="D29" i="3" s="1"/>
  <c r="H57" i="2"/>
  <c r="G57" i="2"/>
  <c r="G60" i="2"/>
  <c r="G53" i="2"/>
  <c r="C28" i="3"/>
  <c r="D28" i="3" s="1"/>
  <c r="N52" i="2"/>
  <c r="B57" i="2"/>
  <c r="N57" i="2" s="1"/>
  <c r="C16" i="3" s="1"/>
  <c r="D16" i="3" s="1"/>
  <c r="E16" i="3" s="1"/>
  <c r="B53" i="2"/>
  <c r="C23" i="3"/>
  <c r="D23" i="3" s="1"/>
  <c r="F27" i="3" l="1"/>
  <c r="G27" i="3" s="1"/>
  <c r="F61" i="2"/>
  <c r="F30" i="3"/>
  <c r="G30" i="3" s="1"/>
  <c r="I61" i="2"/>
  <c r="F28" i="3"/>
  <c r="G28" i="3" s="1"/>
  <c r="G61" i="2"/>
  <c r="C14" i="3"/>
  <c r="D14" i="3" s="1"/>
  <c r="E14" i="3" s="1"/>
  <c r="N53" i="2"/>
  <c r="C15" i="3" s="1"/>
  <c r="D15" i="3" s="1"/>
  <c r="F26" i="3"/>
  <c r="G26" i="3" s="1"/>
  <c r="E61" i="2"/>
  <c r="F32" i="3"/>
  <c r="G32" i="3" s="1"/>
  <c r="K61" i="2"/>
  <c r="H61" i="2"/>
  <c r="F29" i="3"/>
  <c r="G29" i="3" s="1"/>
  <c r="B60" i="2"/>
  <c r="F23" i="3" l="1"/>
  <c r="G23" i="3" s="1"/>
  <c r="B61" i="2"/>
  <c r="N60" i="2"/>
  <c r="C17" i="3" l="1"/>
  <c r="D17" i="3" s="1"/>
  <c r="E17" i="3" s="1"/>
  <c r="N61" i="2"/>
  <c r="C18" i="3" s="1"/>
  <c r="D18" i="3" s="1"/>
</calcChain>
</file>

<file path=xl/sharedStrings.xml><?xml version="1.0" encoding="utf-8"?>
<sst xmlns="http://schemas.openxmlformats.org/spreadsheetml/2006/main" count="196" uniqueCount="145">
  <si>
    <t>Scenario 1: Tăng chi phí đầu tư vào S&amp;M và giảm OTA</t>
  </si>
  <si>
    <t>Operating Drivers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</si>
  <si>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</si>
  <si>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</si>
  <si>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</si>
  <si>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</si>
  <si>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</si>
  <si>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</si>
  <si>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</si>
  <si>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</si>
  <si>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</si>
  <si>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</si>
  <si>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</si>
  <si>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</si>
  <si>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/ Annual</t>
  </si>
  <si>
    <t>Total Keys</t>
  </si>
  <si>
    <t>Days per Month</t>
  </si>
  <si>
    <t>Occupancy</t>
  </si>
  <si>
    <t>ADR ($)</t>
  </si>
  <si>
    <t>Assumption</t>
  </si>
  <si>
    <t>Baseline</t>
  </si>
  <si>
    <t>Formula / Meaning</t>
  </si>
  <si>
    <t>Source / Note</t>
  </si>
  <si>
    <t>F&amp;B Revenue / Rooms Revenue</t>
  </si>
  <si>
    <t>F&amp;B Revenue = Rooms Revenue × %</t>
  </si>
  <si>
    <t>User-provided prompt</t>
  </si>
  <si>
    <t>Spa/Other Revenue / Rooms Revenue</t>
  </si>
  <si>
    <t>Other Operated Dept Revenue = Rooms Revenue × %</t>
  </si>
  <si>
    <t>Rooms Payroll &amp; Related / Rooms Rev</t>
  </si>
  <si>
    <t>Rooms Payroll = Rooms Revenue × %</t>
  </si>
  <si>
    <t>Model baseline within requested 75%–78% Rooms profit margin</t>
  </si>
  <si>
    <t>Rooms Commissions / Rooms Rev</t>
  </si>
  <si>
    <t>Non-OTA commissions = Rooms Revenue × %</t>
  </si>
  <si>
    <t>Model baseline; OTA/brand marketing kept in S&amp;M per user assumption</t>
  </si>
  <si>
    <t>Rooms Other OpEx / Rooms Rev</t>
  </si>
  <si>
    <t>Rooms Other OpEx = Rooms Revenue × %</t>
  </si>
  <si>
    <t>Model baseline</t>
  </si>
  <si>
    <t>F&amp;B COGS / F&amp;B Rev</t>
  </si>
  <si>
    <t>F&amp;B COGS = F&amp;B Revenue × %</t>
  </si>
  <si>
    <t>User requested approx. 30%</t>
  </si>
  <si>
    <t>F&amp;B Payroll &amp; Related / F&amp;B Rev</t>
  </si>
  <si>
    <t>F&amp;B Payroll = F&amp;B Revenue × %</t>
  </si>
  <si>
    <t>User requested approx. 35%</t>
  </si>
  <si>
    <t>F&amp;B Other OpEx / F&amp;B Rev</t>
  </si>
  <si>
    <t>F&amp;B Other OpEx = F&amp;B Revenue × %</t>
  </si>
  <si>
    <t>Sets F&amp;B departmental profit margin to 22.5%</t>
  </si>
  <si>
    <t>Spa/Other Payroll / Other Rev</t>
  </si>
  <si>
    <t>Spa/Other Payroll = Other Revenue × %</t>
  </si>
  <si>
    <t>Spa/Other Other OpEx / Other Rev</t>
  </si>
  <si>
    <t>Spa/Other Other OpEx = Other Revenue × %</t>
  </si>
  <si>
    <t>Sets Other Dept profit margin to 37.5%</t>
  </si>
  <si>
    <t>A&amp;G / Total Operating Revenue</t>
  </si>
  <si>
    <t>A&amp;G = Total Operating Revenue × %</t>
  </si>
  <si>
    <t>Within requested 8%–10%</t>
  </si>
  <si>
    <t>IT&amp;S / Total Operating Revenue</t>
  </si>
  <si>
    <t>IT&amp;S = Total Operating Revenue × %</t>
  </si>
  <si>
    <t>Added for USALI 11 completeness; HFTP lists IT&amp;S as an undistributed department</t>
  </si>
  <si>
    <t>S&amp;M / Total Operating Revenue</t>
  </si>
  <si>
    <t>S&amp;M = Total Operating Revenue × %</t>
  </si>
  <si>
    <t>Within requested 7%–9%; includes OTA/brand marketing per user assumption</t>
  </si>
  <si>
    <t>POM / Total Operating Revenue</t>
  </si>
  <si>
    <t>POM = Total Operating Revenue × %</t>
  </si>
  <si>
    <t>Within requested 4%–5%</t>
  </si>
  <si>
    <t>Utilities / Total Operating Revenue</t>
  </si>
  <si>
    <t>Utilities = Total Operating Revenue × %</t>
  </si>
  <si>
    <t>Within requested 5%–6%</t>
  </si>
  <si>
    <t>Base Management Fee / Total Revenue</t>
  </si>
  <si>
    <t>Base Fee = Total Operating Revenue × %</t>
  </si>
  <si>
    <t>Incentive Fee / GOP</t>
  </si>
  <si>
    <t>Incentive Fee = GOP × %</t>
  </si>
  <si>
    <t>FF&amp;E Reserve / Total Revenue</t>
  </si>
  <si>
    <t>FF&amp;E Reserve = Total Operating Revenue × %</t>
  </si>
  <si>
    <t>Line Item</t>
  </si>
  <si>
    <t>Available Rooms</t>
  </si>
  <si>
    <t>Rooms Sold</t>
  </si>
  <si>
    <t>ADR</t>
  </si>
  <si>
    <t>OPERATING REVENUE</t>
  </si>
  <si>
    <t>Rooms Revenue</t>
  </si>
  <si>
    <t>Food &amp; Beverage Revenue</t>
  </si>
  <si>
    <t>Other Operated Departments Revenue – Spa/Minor</t>
  </si>
  <si>
    <t>Miscellaneous Income</t>
  </si>
  <si>
    <t>Total Operating Revenue</t>
  </si>
  <si>
    <t>ROOMS DEPARTMENT</t>
  </si>
  <si>
    <t>Payroll &amp; Related</t>
  </si>
  <si>
    <t>Commissions (non-OTA modeled)</t>
  </si>
  <si>
    <t>Other Operating Expenses</t>
  </si>
  <si>
    <t>Total Rooms Department Expenses</t>
  </si>
  <si>
    <t>Rooms Department Profit</t>
  </si>
  <si>
    <t>Rooms Department Profit Margin</t>
  </si>
  <si>
    <t>FOOD &amp; BEVERAGE DEPARTMENT</t>
  </si>
  <si>
    <t>Cost of Goods Sold</t>
  </si>
  <si>
    <t>Total F&amp;B Department Expenses</t>
  </si>
  <si>
    <t>F&amp;B Department Profit</t>
  </si>
  <si>
    <t>F&amp;B Department Profit Margin</t>
  </si>
  <si>
    <t>OTHER OPERATED DEPARTMENTS – SPA/MINOR</t>
  </si>
  <si>
    <t>Total Other Dept Expenses</t>
  </si>
  <si>
    <t>Other Dept Profit</t>
  </si>
  <si>
    <t>Other Dept Profit Margin</t>
  </si>
  <si>
    <t>TOTAL DEPARTMENTAL</t>
  </si>
  <si>
    <t>Total Departmental Expenses</t>
  </si>
  <si>
    <t>Total Departmental Profit</t>
  </si>
  <si>
    <t>Total Departmental Profit Margin</t>
  </si>
  <si>
    <t>UNDISTRIBUTED OPERATING EXPENSES</t>
  </si>
  <si>
    <t>Administrative &amp; General (A&amp;G)</t>
  </si>
  <si>
    <t>Information &amp; Telecommunications Systems (IT&amp;S)</t>
  </si>
  <si>
    <t>Sales &amp; Marketing (S&amp;M)</t>
  </si>
  <si>
    <t>Property Operation &amp; Maintenance (POM)</t>
  </si>
  <si>
    <t>Utilities</t>
  </si>
  <si>
    <t>Total Undistributed Operating Expenses</t>
  </si>
  <si>
    <t>GROSS OPERATING PROFIT (GOP)</t>
  </si>
  <si>
    <t>GOP Margin</t>
  </si>
  <si>
    <t>MANAGEMENT FEES &amp; RESERVE</t>
  </si>
  <si>
    <t>Base Management Fee</t>
  </si>
  <si>
    <t>Incentive Management Fee</t>
  </si>
  <si>
    <t>FF&amp;E Replacement Reserve</t>
  </si>
  <si>
    <t>NOI (per requested scope)</t>
  </si>
  <si>
    <t>NOI Margin</t>
  </si>
  <si>
    <t>Scope note: This is a simplified owner/operator pro forma using the user's requested NOI line. USALI 11's formal Summary Operating Statement uses Total Operating Revenue, five Undistributed Operating Departments (including IT&amp;S), Management Fees, Non-operating Income/Expenses, and EBITDA / EBITDA less Replacement Reserve. Property tax, insurance, ground rent, interest, depreciation, amortization, and income tax are not modeled because no assumptions were provided.</t>
  </si>
  <si>
    <t>Scenario 1 – Impact vs Baseline</t>
  </si>
  <si>
    <t>Changed assumptions only</t>
  </si>
  <si>
    <t>Annual cost change vs Baseline</t>
  </si>
  <si>
    <t>Scenario 1</t>
  </si>
  <si>
    <t>Change</t>
  </si>
  <si>
    <t>Basis</t>
  </si>
  <si>
    <t>Cost line</t>
  </si>
  <si>
    <t>Rooms Commissions / Rooms Revenue</t>
  </si>
  <si>
    <t>% of Rooms Revenue</t>
  </si>
  <si>
    <t>Rooms Commissions</t>
  </si>
  <si>
    <t>% of Total Operating Revenue</t>
  </si>
  <si>
    <t>Sales &amp; Marketing</t>
  </si>
  <si>
    <t>Annual financial impact vs Baseline</t>
  </si>
  <si>
    <t>Metric</t>
  </si>
  <si>
    <t>Δ vs Base</t>
  </si>
  <si>
    <t>% Change</t>
  </si>
  <si>
    <t>Gross Operating Profit (GOP)</t>
  </si>
  <si>
    <t>NOI</t>
  </si>
  <si>
    <t>Monthly profit impact vs Baseline</t>
  </si>
  <si>
    <t>Month</t>
  </si>
  <si>
    <t>Baseline GOP</t>
  </si>
  <si>
    <t>Scenario 1 GOP</t>
  </si>
  <si>
    <t>Δ GOP</t>
  </si>
  <si>
    <t>Baseline NOI</t>
  </si>
  <si>
    <t>Scenario 1 NOI</t>
  </si>
  <si>
    <t>Δ NOI</t>
  </si>
  <si>
    <t>Context: Tăng đầu tư S&amp;M để giảm phụ thuộc vào kênh OTA ( Tăng S&amp;M từ 8%-&gt; 9%, giảm Room Commissions từ 3% -&gt; 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</si>
</sst>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;[Red]\(\$#,##0.00\);\-"/>
    <numFmt numFmtId="166" formatCode="#,##0;[Red]\(#,##0\);\-"/>
    <numFmt numFmtId="167" formatCode="\$#,##0;[Red]\(\$#,##0\);\-"/>
    <numFmt numFmtId="168" formatCode="0.0%;[Red]\(0.0%\);\-"/>
    <numFmt numFmtId="169" formatCode="\+\$#,##0;[Red]\(\$#,##0\);\-"/>
    <numFmt numFmtId="170" formatCode="\+0.0%;[Red]\(0.0%\);\-"/>
  </numFmts>
  <fonts count="16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i/>
      <sz val="11"/>
      <name val="Carlito"/>
    </font>
    <font>
      <i/>
      <sz val="9"/>
      <name val="Carlito"/>
    </font>
    <font>
      <sz val="11"/>
      <color theme="5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sz val="11"/>
      <color rgb="FF008000"/>
      <name val="Carlito"/>
    </font>
    <font>
      <b/>
      <sz val="11"/>
      <color rgb="FF0000FF"/>
      <name val="Carlito"/>
    </font>
    <font>
      <b/>
      <sz val="11"/>
      <color rgb="FF008000"/>
      <name val="Carlito"/>
    </font>
    <font>
      <sz val="11"/>
      <color rgb="FF1F1F1F"/>
      <name val="Carlito"/>
    </font>
    <font>
      <b/>
      <sz val="12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5" fontId="5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7" fontId="4" fillId="4" borderId="2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167" fontId="4" fillId="5" borderId="3" xfId="0" applyNumberFormat="1" applyFont="1" applyFill="1" applyBorder="1" applyAlignment="1">
      <alignment horizontal="right" vertical="center"/>
    </xf>
    <xf numFmtId="164" fontId="8" fillId="0" borderId="0" xfId="0" applyNumberFormat="1" applyFont="1" applyAlignment="1">
      <alignment vertical="center"/>
    </xf>
    <xf numFmtId="0" fontId="10" fillId="8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68" fontId="5" fillId="0" borderId="5" xfId="0" applyNumberFormat="1" applyFont="1" applyBorder="1" applyAlignment="1">
      <alignment vertical="center"/>
    </xf>
    <xf numFmtId="168" fontId="11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67" fontId="5" fillId="0" borderId="6" xfId="0" applyNumberFormat="1" applyFont="1" applyBorder="1" applyAlignment="1">
      <alignment vertical="center"/>
    </xf>
    <xf numFmtId="167" fontId="11" fillId="0" borderId="6" xfId="0" applyNumberFormat="1" applyFont="1" applyBorder="1" applyAlignment="1">
      <alignment vertical="center"/>
    </xf>
    <xf numFmtId="167" fontId="0" fillId="0" borderId="6" xfId="0" applyNumberFormat="1" applyBorder="1" applyAlignment="1">
      <alignment vertical="center"/>
    </xf>
    <xf numFmtId="0" fontId="4" fillId="9" borderId="6" xfId="0" applyFont="1" applyFill="1" applyBorder="1" applyAlignment="1">
      <alignment vertical="center"/>
    </xf>
    <xf numFmtId="167" fontId="12" fillId="9" borderId="6" xfId="0" applyNumberFormat="1" applyFont="1" applyFill="1" applyBorder="1" applyAlignment="1">
      <alignment vertical="center"/>
    </xf>
    <xf numFmtId="167" fontId="13" fillId="9" borderId="6" xfId="0" applyNumberFormat="1" applyFont="1" applyFill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167" fontId="12" fillId="10" borderId="6" xfId="0" applyNumberFormat="1" applyFont="1" applyFill="1" applyBorder="1" applyAlignment="1">
      <alignment vertical="center"/>
    </xf>
    <xf numFmtId="167" fontId="13" fillId="10" borderId="6" xfId="0" applyNumberFormat="1" applyFont="1" applyFill="1" applyBorder="1" applyAlignment="1">
      <alignment vertical="center"/>
    </xf>
    <xf numFmtId="0" fontId="4" fillId="8" borderId="0" xfId="0" applyFont="1" applyFill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170" fontId="0" fillId="0" borderId="4" xfId="0" applyNumberFormat="1" applyBorder="1" applyAlignment="1">
      <alignment vertical="center"/>
    </xf>
    <xf numFmtId="168" fontId="12" fillId="4" borderId="4" xfId="0" applyNumberFormat="1" applyFont="1" applyFill="1" applyBorder="1" applyAlignment="1">
      <alignment vertical="center"/>
    </xf>
    <xf numFmtId="168" fontId="13" fillId="4" borderId="4" xfId="0" applyNumberFormat="1" applyFont="1" applyFill="1" applyBorder="1" applyAlignment="1">
      <alignment vertical="center"/>
    </xf>
    <xf numFmtId="168" fontId="12" fillId="5" borderId="4" xfId="0" applyNumberFormat="1" applyFont="1" applyFill="1" applyBorder="1" applyAlignment="1">
      <alignment vertical="center"/>
    </xf>
    <xf numFmtId="168" fontId="13" fillId="5" borderId="4" xfId="0" applyNumberFormat="1" applyFont="1" applyFill="1" applyBorder="1" applyAlignment="1">
      <alignment vertical="center"/>
    </xf>
    <xf numFmtId="169" fontId="14" fillId="0" borderId="4" xfId="0" applyNumberFormat="1" applyFont="1" applyBorder="1" applyAlignment="1">
      <alignment vertical="center"/>
    </xf>
    <xf numFmtId="170" fontId="14" fillId="0" borderId="4" xfId="0" applyNumberFormat="1" applyFont="1" applyBorder="1" applyAlignment="1">
      <alignment vertical="center"/>
    </xf>
    <xf numFmtId="169" fontId="10" fillId="4" borderId="4" xfId="0" applyNumberFormat="1" applyFont="1" applyFill="1" applyBorder="1" applyAlignment="1">
      <alignment vertical="center"/>
    </xf>
    <xf numFmtId="170" fontId="10" fillId="4" borderId="4" xfId="0" applyNumberFormat="1" applyFont="1" applyFill="1" applyBorder="1" applyAlignment="1">
      <alignment vertical="center"/>
    </xf>
    <xf numFmtId="169" fontId="10" fillId="5" borderId="4" xfId="0" applyNumberFormat="1" applyFont="1" applyFill="1" applyBorder="1" applyAlignment="1">
      <alignment vertical="center"/>
    </xf>
    <xf numFmtId="170" fontId="10" fillId="5" borderId="4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7" fillId="6" borderId="0" xfId="0" applyFont="1" applyFill="1" applyAlignment="1">
      <alignment vertical="center" wrapText="1"/>
    </xf>
    <xf numFmtId="0" fontId="9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Comparison'!$G$4:$G$5</c:f>
              <c:strCache>
                <c:ptCount val="2"/>
                <c:pt idx="0">
                  <c:v>Rooms Commissions</c:v>
                </c:pt>
                <c:pt idx="1">
                  <c:v>Sales &amp; Marketing</c:v>
                </c:pt>
              </c:strCache>
            </c:strRef>
          </c:cat>
          <c:val>
            <c:numRef>
              <c:f>'Scenario Comparison'!$H$4:$H$5</c:f>
              <c:numCache>
                <c:formatCode>\$#,##0;[Red]\(\$#,##0\);\-</c:formatCode>
                <c:ptCount val="2"/>
                <c:pt idx="0">
                  <c:v>263248.15049999999</c:v>
                </c:pt>
                <c:pt idx="1">
                  <c:v>1052992.602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B-4BA5-924E-D9C3543F8DD9}"/>
            </c:ext>
          </c:extLst>
        </c:ser>
        <c:ser>
          <c:idx val="1"/>
          <c:order val="1"/>
          <c:tx>
            <c:v>Scenario 1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Comparison'!$G$4:$G$5</c:f>
              <c:strCache>
                <c:ptCount val="2"/>
                <c:pt idx="0">
                  <c:v>Rooms Commissions</c:v>
                </c:pt>
                <c:pt idx="1">
                  <c:v>Sales &amp; Marketing</c:v>
                </c:pt>
              </c:strCache>
            </c:strRef>
          </c:cat>
          <c:val>
            <c:numRef>
              <c:f>'Scenario Comparison'!$I$4:$I$5</c:f>
              <c:numCache>
                <c:formatCode>\$#,##0;[Red]\(\$#,##0\);\-</c:formatCode>
                <c:ptCount val="2"/>
                <c:pt idx="0">
                  <c:v>87749.383499999996</c:v>
                </c:pt>
                <c:pt idx="1">
                  <c:v>1184616.6772499997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B-4BA5-924E-D9C3543F8D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[Red]\(\$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Δ GOP</c:v>
          </c:tx>
          <c:spPr>
            <a:ln w="2222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'Scenario Comparison'!$A$23:$A$34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Comparison'!$D$23:$D$34</c:f>
              <c:numCache>
                <c:formatCode>\+\$#,##0;[Red]\(\$#,##0\);\-</c:formatCode>
                <c:ptCount val="12"/>
                <c:pt idx="0">
                  <c:v>4540.21875</c:v>
                </c:pt>
                <c:pt idx="1">
                  <c:v>4279.3919999999925</c:v>
                </c:pt>
                <c:pt idx="2">
                  <c:v>3632.1614999999874</c:v>
                </c:pt>
                <c:pt idx="3">
                  <c:v>3451.6800000001094</c:v>
                </c:pt>
                <c:pt idx="4">
                  <c:v>2575.5210000000661</c:v>
                </c:pt>
                <c:pt idx="5">
                  <c:v>3343.8150000000023</c:v>
                </c:pt>
                <c:pt idx="6">
                  <c:v>4540.21875</c:v>
                </c:pt>
                <c:pt idx="7">
                  <c:v>4338.8280000000377</c:v>
                </c:pt>
                <c:pt idx="8">
                  <c:v>2575.5210000000661</c:v>
                </c:pt>
                <c:pt idx="9">
                  <c:v>2784.7462500000256</c:v>
                </c:pt>
                <c:pt idx="10">
                  <c:v>3817.1970000000438</c:v>
                </c:pt>
                <c:pt idx="11">
                  <c:v>3995.3924999999581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73-484D-AD4D-7925DE80EB8C}"/>
            </c:ext>
          </c:extLst>
        </c:ser>
        <c:ser>
          <c:idx val="1"/>
          <c:order val="1"/>
          <c:tx>
            <c:v>Δ NOI</c:v>
          </c:tx>
          <c:spPr>
            <a:ln w="2222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'Scenario Comparison'!$A$23:$A$34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Comparison'!$G$23:$G$34</c:f>
              <c:numCache>
                <c:formatCode>\+\$#,##0;[Red]\(\$#,##0\);\-</c:formatCode>
                <c:ptCount val="12"/>
                <c:pt idx="0">
                  <c:v>4177.0012500000303</c:v>
                </c:pt>
                <c:pt idx="1">
                  <c:v>3937.0406399999629</c:v>
                </c:pt>
                <c:pt idx="2">
                  <c:v>3341.5885799999814</c:v>
                </c:pt>
                <c:pt idx="3">
                  <c:v>3175.5456000001286</c:v>
                </c:pt>
                <c:pt idx="4">
                  <c:v>2369.4793200000713</c:v>
                </c:pt>
                <c:pt idx="5">
                  <c:v>3076.3097999999882</c:v>
                </c:pt>
                <c:pt idx="6">
                  <c:v>4177.0012500000303</c:v>
                </c:pt>
                <c:pt idx="7">
                  <c:v>3991.721760000044</c:v>
                </c:pt>
                <c:pt idx="8">
                  <c:v>2369.4793200000713</c:v>
                </c:pt>
                <c:pt idx="9">
                  <c:v>2561.9665500000119</c:v>
                </c:pt>
                <c:pt idx="10">
                  <c:v>3511.8212400000193</c:v>
                </c:pt>
                <c:pt idx="11">
                  <c:v>3675.7610999999451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73-484D-AD4D-7925DE80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\+\$#,##0;[Red]\(\$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5</xdr:row>
      <xdr:rowOff>47625</xdr:rowOff>
    </xdr:from>
    <xdr:to>
      <xdr:col>8</xdr:col>
      <xdr:colOff>1143000</xdr:colOff>
      <xdr:row>17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19</xdr:row>
      <xdr:rowOff>161925</xdr:rowOff>
    </xdr:from>
    <xdr:to>
      <xdr:col>12</xdr:col>
      <xdr:colOff>876300</xdr:colOff>
      <xdr:row>34</xdr:row>
      <xdr:rowOff>161925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workbookViewId="0">
      <selection activeCell="A9" sqref="A9:D9"/>
    </sheetView>
  </sheetViews>
  <sheetFormatPr defaultRowHeight="14.25"/>
  <cols>
    <col min="1" max="1" width="34" customWidth="1"/>
    <col min="2" max="2" width="14" customWidth="1"/>
    <col min="3" max="3" width="44" customWidth="1"/>
    <col min="4" max="4" width="58" customWidth="1"/>
    <col min="5" max="14" width="12" customWidth="1"/>
  </cols>
  <sheetData>
    <row r="1" spans="1:14" ht="24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>
      <c r="A4" s="1" t="s">
        <v>15</v>
      </c>
      <c r="B4" s="3">
        <v>150</v>
      </c>
      <c r="C4" s="3">
        <v>150</v>
      </c>
      <c r="D4" s="3">
        <v>150</v>
      </c>
      <c r="E4" s="3">
        <v>150</v>
      </c>
      <c r="F4" s="3">
        <v>150</v>
      </c>
      <c r="G4" s="3">
        <v>150</v>
      </c>
      <c r="H4" s="3">
        <v>150</v>
      </c>
      <c r="I4" s="3">
        <v>150</v>
      </c>
      <c r="J4" s="3">
        <v>150</v>
      </c>
      <c r="K4" s="3">
        <v>150</v>
      </c>
      <c r="L4" s="3">
        <v>150</v>
      </c>
      <c r="M4" s="3">
        <v>150</v>
      </c>
      <c r="N4" s="1">
        <f>B4</f>
        <v>150</v>
      </c>
    </row>
    <row r="5" spans="1:14">
      <c r="A5" s="1" t="s">
        <v>16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  <c r="N5" s="1">
        <f>SUM(B5:M5)</f>
        <v>360</v>
      </c>
    </row>
    <row r="6" spans="1:14">
      <c r="A6" s="1" t="s">
        <v>17</v>
      </c>
      <c r="B6" s="4">
        <v>0.75</v>
      </c>
      <c r="C6" s="4">
        <v>0.72</v>
      </c>
      <c r="D6" s="4">
        <v>0.66</v>
      </c>
      <c r="E6" s="4">
        <v>0.64</v>
      </c>
      <c r="F6" s="4">
        <v>0.52</v>
      </c>
      <c r="G6" s="4">
        <v>0.62</v>
      </c>
      <c r="H6" s="4">
        <v>0.75</v>
      </c>
      <c r="I6" s="4">
        <v>0.73</v>
      </c>
      <c r="J6" s="4">
        <v>0.52</v>
      </c>
      <c r="K6" s="4">
        <v>0.55000000000000004</v>
      </c>
      <c r="L6" s="4">
        <v>0.68</v>
      </c>
      <c r="M6" s="4">
        <v>0.66</v>
      </c>
      <c r="N6" s="5">
        <f>AVERAGE(B6:M6)</f>
        <v>0.65</v>
      </c>
    </row>
    <row r="7" spans="1:14">
      <c r="A7" s="1" t="s">
        <v>18</v>
      </c>
      <c r="B7" s="6">
        <v>269.05</v>
      </c>
      <c r="C7" s="6">
        <v>264.16000000000003</v>
      </c>
      <c r="D7" s="6">
        <v>244.59</v>
      </c>
      <c r="E7" s="6">
        <v>239.7</v>
      </c>
      <c r="F7" s="6">
        <v>220.13</v>
      </c>
      <c r="G7" s="6">
        <v>239.7</v>
      </c>
      <c r="H7" s="6">
        <v>269.05</v>
      </c>
      <c r="I7" s="6">
        <v>264.16000000000003</v>
      </c>
      <c r="J7" s="6">
        <v>220.13</v>
      </c>
      <c r="K7" s="6">
        <v>225.03</v>
      </c>
      <c r="L7" s="6">
        <v>249.49</v>
      </c>
      <c r="M7" s="6">
        <v>269.05</v>
      </c>
      <c r="N7" s="7">
        <f>SUMPRODUCT(B6:M6,B7:M7)/SUM(B6:M6)</f>
        <v>249.99824358974362</v>
      </c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 ht="22.5" customHeight="1">
      <c r="A9" s="62" t="s">
        <v>144</v>
      </c>
      <c r="B9" s="62"/>
      <c r="C9" s="62"/>
      <c r="D9" s="62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>
      <c r="A10" s="8" t="s">
        <v>19</v>
      </c>
      <c r="B10" s="8" t="s">
        <v>20</v>
      </c>
      <c r="C10" s="8" t="s">
        <v>21</v>
      </c>
      <c r="D10" s="8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 t="s">
        <v>23</v>
      </c>
      <c r="B11" s="4">
        <v>0.4</v>
      </c>
      <c r="C11" s="9" t="s">
        <v>24</v>
      </c>
      <c r="D11" s="9" t="s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8.5">
      <c r="A12" s="1" t="s">
        <v>26</v>
      </c>
      <c r="B12" s="4">
        <v>0.1</v>
      </c>
      <c r="C12" s="9" t="s">
        <v>27</v>
      </c>
      <c r="D12" s="9" t="s">
        <v>25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 t="s">
        <v>28</v>
      </c>
      <c r="B13" s="4">
        <v>0.14000000000000001</v>
      </c>
      <c r="C13" s="9" t="s">
        <v>29</v>
      </c>
      <c r="D13" s="9" t="s">
        <v>30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8.5">
      <c r="A14" s="1" t="s">
        <v>31</v>
      </c>
      <c r="B14" s="26">
        <v>0.01</v>
      </c>
      <c r="C14" s="9" t="s">
        <v>32</v>
      </c>
      <c r="D14" s="9" t="s">
        <v>33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 t="s">
        <v>34</v>
      </c>
      <c r="B15" s="4">
        <v>0.06</v>
      </c>
      <c r="C15" s="9" t="s">
        <v>35</v>
      </c>
      <c r="D15" s="9" t="s">
        <v>36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37</v>
      </c>
      <c r="B16" s="4">
        <v>0.3</v>
      </c>
      <c r="C16" s="9" t="s">
        <v>38</v>
      </c>
      <c r="D16" s="9" t="s">
        <v>39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40</v>
      </c>
      <c r="B17" s="4">
        <v>0.35</v>
      </c>
      <c r="C17" s="9" t="s">
        <v>41</v>
      </c>
      <c r="D17" s="9" t="s">
        <v>42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43</v>
      </c>
      <c r="B18" s="4">
        <v>0.125</v>
      </c>
      <c r="C18" s="9" t="s">
        <v>44</v>
      </c>
      <c r="D18" s="9" t="s">
        <v>45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 t="s">
        <v>46</v>
      </c>
      <c r="B19" s="4">
        <v>0.4</v>
      </c>
      <c r="C19" s="9" t="s">
        <v>47</v>
      </c>
      <c r="D19" s="9" t="s">
        <v>36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 t="s">
        <v>48</v>
      </c>
      <c r="B20" s="4">
        <v>0.22500000000000001</v>
      </c>
      <c r="C20" s="9" t="s">
        <v>49</v>
      </c>
      <c r="D20" s="9" t="s">
        <v>50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 t="s">
        <v>51</v>
      </c>
      <c r="B21" s="4">
        <v>0.09</v>
      </c>
      <c r="C21" s="9" t="s">
        <v>52</v>
      </c>
      <c r="D21" s="9" t="s">
        <v>53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8.5">
      <c r="A22" s="1" t="s">
        <v>54</v>
      </c>
      <c r="B22" s="4">
        <v>1.4999999999999999E-2</v>
      </c>
      <c r="C22" s="9" t="s">
        <v>55</v>
      </c>
      <c r="D22" s="9" t="s">
        <v>56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8.5">
      <c r="A23" s="1" t="s">
        <v>57</v>
      </c>
      <c r="B23" s="26">
        <v>0.09</v>
      </c>
      <c r="C23" s="9" t="s">
        <v>58</v>
      </c>
      <c r="D23" s="9" t="s">
        <v>59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 t="s">
        <v>60</v>
      </c>
      <c r="B24" s="4">
        <v>4.4999999999999998E-2</v>
      </c>
      <c r="C24" s="9" t="s">
        <v>61</v>
      </c>
      <c r="D24" s="9" t="s">
        <v>62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 t="s">
        <v>63</v>
      </c>
      <c r="B25" s="4">
        <v>5.5E-2</v>
      </c>
      <c r="C25" s="9" t="s">
        <v>64</v>
      </c>
      <c r="D25" s="9" t="s">
        <v>65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66</v>
      </c>
      <c r="B26" s="4">
        <v>0.02</v>
      </c>
      <c r="C26" s="9" t="s">
        <v>67</v>
      </c>
      <c r="D26" s="9" t="s">
        <v>25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 t="s">
        <v>68</v>
      </c>
      <c r="B27" s="4">
        <v>0.08</v>
      </c>
      <c r="C27" s="9" t="s">
        <v>69</v>
      </c>
      <c r="D27" s="9" t="s">
        <v>25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70</v>
      </c>
      <c r="B28" s="4">
        <v>0.04</v>
      </c>
      <c r="C28" s="9" t="s">
        <v>71</v>
      </c>
      <c r="D28" s="9" t="s"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57"/>
      <c r="B30" s="58"/>
      <c r="C30" s="58"/>
      <c r="D30" s="58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mergeCells count="3">
    <mergeCell ref="A1:N1"/>
    <mergeCell ref="A9:D9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topLeftCell="C43" workbookViewId="0">
      <selection sqref="A1:N1"/>
    </sheetView>
  </sheetViews>
  <sheetFormatPr defaultRowHeight="14.25"/>
  <cols>
    <col min="1" max="1" width="43" customWidth="1"/>
    <col min="2" max="14" width="13" customWidth="1"/>
  </cols>
  <sheetData>
    <row r="1" spans="1:14" ht="24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>
      <c r="A3" s="10" t="s">
        <v>72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</row>
    <row r="4" spans="1:14">
      <c r="A4" s="12" t="s">
        <v>73</v>
      </c>
      <c r="B4" s="13">
        <f>Assumptions!B$4*Assumptions!B$5</f>
        <v>4500</v>
      </c>
      <c r="C4" s="13">
        <f>Assumptions!C$4*Assumptions!C$5</f>
        <v>4500</v>
      </c>
      <c r="D4" s="13">
        <f>Assumptions!D$4*Assumptions!D$5</f>
        <v>4500</v>
      </c>
      <c r="E4" s="13">
        <f>Assumptions!E$4*Assumptions!E$5</f>
        <v>4500</v>
      </c>
      <c r="F4" s="13">
        <f>Assumptions!F$4*Assumptions!F$5</f>
        <v>4500</v>
      </c>
      <c r="G4" s="13">
        <f>Assumptions!G$4*Assumptions!G$5</f>
        <v>4500</v>
      </c>
      <c r="H4" s="13">
        <f>Assumptions!H$4*Assumptions!H$5</f>
        <v>4500</v>
      </c>
      <c r="I4" s="13">
        <f>Assumptions!I$4*Assumptions!I$5</f>
        <v>4500</v>
      </c>
      <c r="J4" s="13">
        <f>Assumptions!J$4*Assumptions!J$5</f>
        <v>4500</v>
      </c>
      <c r="K4" s="13">
        <f>Assumptions!K$4*Assumptions!K$5</f>
        <v>4500</v>
      </c>
      <c r="L4" s="13">
        <f>Assumptions!L$4*Assumptions!L$5</f>
        <v>4500</v>
      </c>
      <c r="M4" s="13">
        <f>Assumptions!M$4*Assumptions!M$5</f>
        <v>4500</v>
      </c>
      <c r="N4" s="13">
        <f>SUM(B4:M4)</f>
        <v>54000</v>
      </c>
    </row>
    <row r="5" spans="1:14">
      <c r="A5" s="12" t="s">
        <v>17</v>
      </c>
      <c r="B5" s="14">
        <f>Assumptions!B$6</f>
        <v>0.75</v>
      </c>
      <c r="C5" s="14">
        <f>Assumptions!C$6</f>
        <v>0.72</v>
      </c>
      <c r="D5" s="14">
        <f>Assumptions!D$6</f>
        <v>0.66</v>
      </c>
      <c r="E5" s="14">
        <f>Assumptions!E$6</f>
        <v>0.64</v>
      </c>
      <c r="F5" s="14">
        <f>Assumptions!F$6</f>
        <v>0.52</v>
      </c>
      <c r="G5" s="14">
        <f>Assumptions!G$6</f>
        <v>0.62</v>
      </c>
      <c r="H5" s="14">
        <f>Assumptions!H$6</f>
        <v>0.75</v>
      </c>
      <c r="I5" s="14">
        <f>Assumptions!I$6</f>
        <v>0.73</v>
      </c>
      <c r="J5" s="14">
        <f>Assumptions!J$6</f>
        <v>0.52</v>
      </c>
      <c r="K5" s="14">
        <f>Assumptions!K$6</f>
        <v>0.55000000000000004</v>
      </c>
      <c r="L5" s="14">
        <f>Assumptions!L$6</f>
        <v>0.68</v>
      </c>
      <c r="M5" s="14">
        <f>Assumptions!M$6</f>
        <v>0.66</v>
      </c>
      <c r="N5" s="14">
        <f>N6/N4</f>
        <v>0.65</v>
      </c>
    </row>
    <row r="6" spans="1:14">
      <c r="A6" s="12" t="s">
        <v>74</v>
      </c>
      <c r="B6" s="13">
        <f t="shared" ref="B6:M6" si="0">B4*B5</f>
        <v>3375</v>
      </c>
      <c r="C6" s="13">
        <f t="shared" si="0"/>
        <v>3240</v>
      </c>
      <c r="D6" s="13">
        <f t="shared" si="0"/>
        <v>2970</v>
      </c>
      <c r="E6" s="13">
        <f t="shared" si="0"/>
        <v>2880</v>
      </c>
      <c r="F6" s="13">
        <f t="shared" si="0"/>
        <v>2340</v>
      </c>
      <c r="G6" s="13">
        <f t="shared" si="0"/>
        <v>2790</v>
      </c>
      <c r="H6" s="13">
        <f t="shared" si="0"/>
        <v>3375</v>
      </c>
      <c r="I6" s="13">
        <f t="shared" si="0"/>
        <v>3285</v>
      </c>
      <c r="J6" s="13">
        <f t="shared" si="0"/>
        <v>2340</v>
      </c>
      <c r="K6" s="13">
        <f t="shared" si="0"/>
        <v>2475</v>
      </c>
      <c r="L6" s="13">
        <f t="shared" si="0"/>
        <v>3060</v>
      </c>
      <c r="M6" s="13">
        <f t="shared" si="0"/>
        <v>2970</v>
      </c>
      <c r="N6" s="13">
        <f>SUM(B6:M6)</f>
        <v>35100</v>
      </c>
    </row>
    <row r="7" spans="1:14">
      <c r="A7" s="12" t="s">
        <v>75</v>
      </c>
      <c r="B7" s="15">
        <f>Assumptions!B$7</f>
        <v>269.05</v>
      </c>
      <c r="C7" s="15">
        <f>Assumptions!C$7</f>
        <v>264.16000000000003</v>
      </c>
      <c r="D7" s="15">
        <f>Assumptions!D$7</f>
        <v>244.59</v>
      </c>
      <c r="E7" s="15">
        <f>Assumptions!E$7</f>
        <v>239.7</v>
      </c>
      <c r="F7" s="15">
        <f>Assumptions!F$7</f>
        <v>220.13</v>
      </c>
      <c r="G7" s="15">
        <f>Assumptions!G$7</f>
        <v>239.7</v>
      </c>
      <c r="H7" s="15">
        <f>Assumptions!H$7</f>
        <v>269.05</v>
      </c>
      <c r="I7" s="15">
        <f>Assumptions!I$7</f>
        <v>264.16000000000003</v>
      </c>
      <c r="J7" s="15">
        <f>Assumptions!J$7</f>
        <v>220.13</v>
      </c>
      <c r="K7" s="15">
        <f>Assumptions!K$7</f>
        <v>225.03</v>
      </c>
      <c r="L7" s="15">
        <f>Assumptions!L$7</f>
        <v>249.49</v>
      </c>
      <c r="M7" s="15">
        <f>Assumptions!M$7</f>
        <v>269.05</v>
      </c>
      <c r="N7" s="15">
        <f>N10/N6</f>
        <v>249.99824358974362</v>
      </c>
    </row>
    <row r="8" spans="1:14">
      <c r="A8" s="1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5">
      <c r="A9" s="17" t="s">
        <v>76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>
      <c r="A10" s="12" t="s">
        <v>77</v>
      </c>
      <c r="B10" s="15">
        <f t="shared" ref="B10:M10" si="1">B6*B7</f>
        <v>908043.75</v>
      </c>
      <c r="C10" s="15">
        <f t="shared" si="1"/>
        <v>855878.4</v>
      </c>
      <c r="D10" s="15">
        <f t="shared" si="1"/>
        <v>726432.3</v>
      </c>
      <c r="E10" s="15">
        <f t="shared" si="1"/>
        <v>690336</v>
      </c>
      <c r="F10" s="15">
        <f t="shared" si="1"/>
        <v>515104.2</v>
      </c>
      <c r="G10" s="15">
        <f t="shared" si="1"/>
        <v>668763</v>
      </c>
      <c r="H10" s="15">
        <f t="shared" si="1"/>
        <v>908043.75</v>
      </c>
      <c r="I10" s="15">
        <f t="shared" si="1"/>
        <v>867765.60000000009</v>
      </c>
      <c r="J10" s="15">
        <f t="shared" si="1"/>
        <v>515104.2</v>
      </c>
      <c r="K10" s="15">
        <f t="shared" si="1"/>
        <v>556949.25</v>
      </c>
      <c r="L10" s="15">
        <f t="shared" si="1"/>
        <v>763439.4</v>
      </c>
      <c r="M10" s="15">
        <f t="shared" si="1"/>
        <v>799078.5</v>
      </c>
      <c r="N10" s="15">
        <f>SUM(B10:M10)</f>
        <v>8774938.3500000015</v>
      </c>
    </row>
    <row r="11" spans="1:14">
      <c r="A11" s="12" t="s">
        <v>78</v>
      </c>
      <c r="B11" s="15">
        <f>B10*Assumptions!$B$11</f>
        <v>363217.5</v>
      </c>
      <c r="C11" s="15">
        <f>C10*Assumptions!$B$11</f>
        <v>342351.36000000004</v>
      </c>
      <c r="D11" s="15">
        <f>D10*Assumptions!$B$11</f>
        <v>290572.92000000004</v>
      </c>
      <c r="E11" s="15">
        <f>E10*Assumptions!$B$11</f>
        <v>276134.40000000002</v>
      </c>
      <c r="F11" s="15">
        <f>F10*Assumptions!$B$11</f>
        <v>206041.68000000002</v>
      </c>
      <c r="G11" s="15">
        <f>G10*Assumptions!$B$11</f>
        <v>267505.2</v>
      </c>
      <c r="H11" s="15">
        <f>H10*Assumptions!$B$11</f>
        <v>363217.5</v>
      </c>
      <c r="I11" s="15">
        <f>I10*Assumptions!$B$11</f>
        <v>347106.24000000005</v>
      </c>
      <c r="J11" s="15">
        <f>J10*Assumptions!$B$11</f>
        <v>206041.68000000002</v>
      </c>
      <c r="K11" s="15">
        <f>K10*Assumptions!$B$11</f>
        <v>222779.7</v>
      </c>
      <c r="L11" s="15">
        <f>L10*Assumptions!$B$11</f>
        <v>305375.76</v>
      </c>
      <c r="M11" s="15">
        <f>M10*Assumptions!$B$11</f>
        <v>319631.40000000002</v>
      </c>
      <c r="N11" s="15">
        <f>SUM(B11:M11)</f>
        <v>3509975.3400000003</v>
      </c>
    </row>
    <row r="12" spans="1:14">
      <c r="A12" s="12" t="s">
        <v>79</v>
      </c>
      <c r="B12" s="15">
        <f>B10*Assumptions!$B$12</f>
        <v>90804.375</v>
      </c>
      <c r="C12" s="15">
        <f>C10*Assumptions!$B$12</f>
        <v>85587.840000000011</v>
      </c>
      <c r="D12" s="15">
        <f>D10*Assumptions!$B$12</f>
        <v>72643.23000000001</v>
      </c>
      <c r="E12" s="15">
        <f>E10*Assumptions!$B$12</f>
        <v>69033.600000000006</v>
      </c>
      <c r="F12" s="15">
        <f>F10*Assumptions!$B$12</f>
        <v>51510.420000000006</v>
      </c>
      <c r="G12" s="15">
        <f>G10*Assumptions!$B$12</f>
        <v>66876.3</v>
      </c>
      <c r="H12" s="15">
        <f>H10*Assumptions!$B$12</f>
        <v>90804.375</v>
      </c>
      <c r="I12" s="15">
        <f>I10*Assumptions!$B$12</f>
        <v>86776.560000000012</v>
      </c>
      <c r="J12" s="15">
        <f>J10*Assumptions!$B$12</f>
        <v>51510.420000000006</v>
      </c>
      <c r="K12" s="15">
        <f>K10*Assumptions!$B$12</f>
        <v>55694.925000000003</v>
      </c>
      <c r="L12" s="15">
        <f>L10*Assumptions!$B$12</f>
        <v>76343.94</v>
      </c>
      <c r="M12" s="15">
        <f>M10*Assumptions!$B$12</f>
        <v>79907.850000000006</v>
      </c>
      <c r="N12" s="15">
        <f>SUM(B12:M12)</f>
        <v>877493.83500000008</v>
      </c>
    </row>
    <row r="13" spans="1:14">
      <c r="A13" s="12" t="s">
        <v>80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f>SUM(B13:M13)</f>
        <v>0</v>
      </c>
    </row>
    <row r="14" spans="1:14" ht="15">
      <c r="A14" s="19" t="s">
        <v>81</v>
      </c>
      <c r="B14" s="20">
        <f t="shared" ref="B14:M14" si="2">SUM(B10:B13)</f>
        <v>1362065.625</v>
      </c>
      <c r="C14" s="20">
        <f t="shared" si="2"/>
        <v>1283817.6000000001</v>
      </c>
      <c r="D14" s="20">
        <f t="shared" si="2"/>
        <v>1089648.4500000002</v>
      </c>
      <c r="E14" s="20">
        <f t="shared" si="2"/>
        <v>1035504</v>
      </c>
      <c r="F14" s="20">
        <f t="shared" si="2"/>
        <v>772656.3</v>
      </c>
      <c r="G14" s="20">
        <f t="shared" si="2"/>
        <v>1003144.5</v>
      </c>
      <c r="H14" s="20">
        <f t="shared" si="2"/>
        <v>1362065.625</v>
      </c>
      <c r="I14" s="20">
        <f t="shared" si="2"/>
        <v>1301648.4000000001</v>
      </c>
      <c r="J14" s="20">
        <f t="shared" si="2"/>
        <v>772656.3</v>
      </c>
      <c r="K14" s="20">
        <f t="shared" si="2"/>
        <v>835423.875</v>
      </c>
      <c r="L14" s="20">
        <f t="shared" si="2"/>
        <v>1145159.1000000001</v>
      </c>
      <c r="M14" s="20">
        <f t="shared" si="2"/>
        <v>1198617.75</v>
      </c>
      <c r="N14" s="20">
        <f>SUM(B14:M14)</f>
        <v>13162407.525</v>
      </c>
    </row>
    <row r="15" spans="1:14">
      <c r="A15" s="12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15">
      <c r="A16" s="17" t="s">
        <v>82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>
      <c r="A17" s="12" t="s">
        <v>83</v>
      </c>
      <c r="B17" s="15">
        <f>B10*Assumptions!$B$13</f>
        <v>127126.12500000001</v>
      </c>
      <c r="C17" s="15">
        <f>C10*Assumptions!$B$13</f>
        <v>119822.97600000001</v>
      </c>
      <c r="D17" s="15">
        <f>D10*Assumptions!$B$13</f>
        <v>101700.52200000001</v>
      </c>
      <c r="E17" s="15">
        <f>E10*Assumptions!$B$13</f>
        <v>96647.040000000008</v>
      </c>
      <c r="F17" s="15">
        <f>F10*Assumptions!$B$13</f>
        <v>72114.588000000003</v>
      </c>
      <c r="G17" s="15">
        <f>G10*Assumptions!$B$13</f>
        <v>93626.82</v>
      </c>
      <c r="H17" s="15">
        <f>H10*Assumptions!$B$13</f>
        <v>127126.12500000001</v>
      </c>
      <c r="I17" s="15">
        <f>I10*Assumptions!$B$13</f>
        <v>121487.18400000002</v>
      </c>
      <c r="J17" s="15">
        <f>J10*Assumptions!$B$13</f>
        <v>72114.588000000003</v>
      </c>
      <c r="K17" s="15">
        <f>K10*Assumptions!$B$13</f>
        <v>77972.895000000004</v>
      </c>
      <c r="L17" s="15">
        <f>L10*Assumptions!$B$13</f>
        <v>106881.51600000002</v>
      </c>
      <c r="M17" s="15">
        <f>M10*Assumptions!$B$13</f>
        <v>111870.99</v>
      </c>
      <c r="N17" s="15">
        <f>SUM(B17:M17)</f>
        <v>1228491.3689999999</v>
      </c>
    </row>
    <row r="18" spans="1:14">
      <c r="A18" s="12" t="s">
        <v>84</v>
      </c>
      <c r="B18" s="15">
        <f>B10*Assumptions!$B$14</f>
        <v>9080.4375</v>
      </c>
      <c r="C18" s="15">
        <f>C10*Assumptions!$B$14</f>
        <v>8558.7839999999997</v>
      </c>
      <c r="D18" s="15">
        <f>D10*Assumptions!$B$14</f>
        <v>7264.3230000000003</v>
      </c>
      <c r="E18" s="15">
        <f>E10*Assumptions!$B$14</f>
        <v>6903.3600000000006</v>
      </c>
      <c r="F18" s="15">
        <f>F10*Assumptions!$B$14</f>
        <v>5151.0420000000004</v>
      </c>
      <c r="G18" s="15">
        <f>G10*Assumptions!$B$14</f>
        <v>6687.63</v>
      </c>
      <c r="H18" s="15">
        <f>H10*Assumptions!$B$14</f>
        <v>9080.4375</v>
      </c>
      <c r="I18" s="15">
        <f>I10*Assumptions!$B$14</f>
        <v>8677.6560000000009</v>
      </c>
      <c r="J18" s="15">
        <f>J10*Assumptions!$B$14</f>
        <v>5151.0420000000004</v>
      </c>
      <c r="K18" s="15">
        <f>K10*Assumptions!$B$14</f>
        <v>5569.4925000000003</v>
      </c>
      <c r="L18" s="15">
        <f>L10*Assumptions!$B$14</f>
        <v>7634.3940000000002</v>
      </c>
      <c r="M18" s="15">
        <f>M10*Assumptions!$B$14</f>
        <v>7990.7849999999999</v>
      </c>
      <c r="N18" s="15">
        <f>SUM(B18:M18)</f>
        <v>87749.383499999996</v>
      </c>
    </row>
    <row r="19" spans="1:14">
      <c r="A19" s="12" t="s">
        <v>85</v>
      </c>
      <c r="B19" s="15">
        <f>B10*Assumptions!$B$15</f>
        <v>54482.625</v>
      </c>
      <c r="C19" s="15">
        <f>C10*Assumptions!$B$15</f>
        <v>51352.703999999998</v>
      </c>
      <c r="D19" s="15">
        <f>D10*Assumptions!$B$15</f>
        <v>43585.938000000002</v>
      </c>
      <c r="E19" s="15">
        <f>E10*Assumptions!$B$15</f>
        <v>41420.159999999996</v>
      </c>
      <c r="F19" s="15">
        <f>F10*Assumptions!$B$15</f>
        <v>30906.252</v>
      </c>
      <c r="G19" s="15">
        <f>G10*Assumptions!$B$15</f>
        <v>40125.78</v>
      </c>
      <c r="H19" s="15">
        <f>H10*Assumptions!$B$15</f>
        <v>54482.625</v>
      </c>
      <c r="I19" s="15">
        <f>I10*Assumptions!$B$15</f>
        <v>52065.936000000002</v>
      </c>
      <c r="J19" s="15">
        <f>J10*Assumptions!$B$15</f>
        <v>30906.252</v>
      </c>
      <c r="K19" s="15">
        <f>K10*Assumptions!$B$15</f>
        <v>33416.955000000002</v>
      </c>
      <c r="L19" s="15">
        <f>L10*Assumptions!$B$15</f>
        <v>45806.364000000001</v>
      </c>
      <c r="M19" s="15">
        <f>M10*Assumptions!$B$15</f>
        <v>47944.71</v>
      </c>
      <c r="N19" s="15">
        <f>SUM(B19:M19)</f>
        <v>526496.30099999998</v>
      </c>
    </row>
    <row r="20" spans="1:14" ht="15">
      <c r="A20" s="19" t="s">
        <v>86</v>
      </c>
      <c r="B20" s="20">
        <f t="shared" ref="B20:M20" si="3">SUM(B17:B19)</f>
        <v>190689.1875</v>
      </c>
      <c r="C20" s="20">
        <f t="shared" si="3"/>
        <v>179734.46400000001</v>
      </c>
      <c r="D20" s="20">
        <f t="shared" si="3"/>
        <v>152550.78300000002</v>
      </c>
      <c r="E20" s="20">
        <f t="shared" si="3"/>
        <v>144970.56</v>
      </c>
      <c r="F20" s="20">
        <f t="shared" si="3"/>
        <v>108171.88200000001</v>
      </c>
      <c r="G20" s="20">
        <f t="shared" si="3"/>
        <v>140440.23000000001</v>
      </c>
      <c r="H20" s="20">
        <f t="shared" si="3"/>
        <v>190689.1875</v>
      </c>
      <c r="I20" s="20">
        <f t="shared" si="3"/>
        <v>182230.77600000001</v>
      </c>
      <c r="J20" s="20">
        <f t="shared" si="3"/>
        <v>108171.88200000001</v>
      </c>
      <c r="K20" s="20">
        <f t="shared" si="3"/>
        <v>116959.34250000001</v>
      </c>
      <c r="L20" s="20">
        <f t="shared" si="3"/>
        <v>160322.27400000003</v>
      </c>
      <c r="M20" s="20">
        <f t="shared" si="3"/>
        <v>167806.48500000002</v>
      </c>
      <c r="N20" s="20">
        <f>SUM(B20:M20)</f>
        <v>1842737.0535000002</v>
      </c>
    </row>
    <row r="21" spans="1:14" ht="15">
      <c r="A21" s="19" t="s">
        <v>87</v>
      </c>
      <c r="B21" s="20">
        <f t="shared" ref="B21:M21" si="4">B10-B20</f>
        <v>717354.5625</v>
      </c>
      <c r="C21" s="20">
        <f t="shared" si="4"/>
        <v>676143.93599999999</v>
      </c>
      <c r="D21" s="20">
        <f t="shared" si="4"/>
        <v>573881.51699999999</v>
      </c>
      <c r="E21" s="20">
        <f t="shared" si="4"/>
        <v>545365.43999999994</v>
      </c>
      <c r="F21" s="20">
        <f t="shared" si="4"/>
        <v>406932.31799999997</v>
      </c>
      <c r="G21" s="20">
        <f t="shared" si="4"/>
        <v>528322.77</v>
      </c>
      <c r="H21" s="20">
        <f t="shared" si="4"/>
        <v>717354.5625</v>
      </c>
      <c r="I21" s="20">
        <f t="shared" si="4"/>
        <v>685534.82400000002</v>
      </c>
      <c r="J21" s="20">
        <f t="shared" si="4"/>
        <v>406932.31799999997</v>
      </c>
      <c r="K21" s="20">
        <f t="shared" si="4"/>
        <v>439989.90749999997</v>
      </c>
      <c r="L21" s="20">
        <f t="shared" si="4"/>
        <v>603117.12599999993</v>
      </c>
      <c r="M21" s="20">
        <f t="shared" si="4"/>
        <v>631272.01500000001</v>
      </c>
      <c r="N21" s="20">
        <f>SUM(B21:M21)</f>
        <v>6932201.2964999992</v>
      </c>
    </row>
    <row r="22" spans="1:14">
      <c r="A22" s="21" t="s">
        <v>88</v>
      </c>
      <c r="B22" s="14">
        <f t="shared" ref="B22:N22" si="5">B21/B10</f>
        <v>0.79</v>
      </c>
      <c r="C22" s="14">
        <f t="shared" si="5"/>
        <v>0.78999999999999992</v>
      </c>
      <c r="D22" s="14">
        <f t="shared" si="5"/>
        <v>0.78999999999999992</v>
      </c>
      <c r="E22" s="14">
        <f t="shared" si="5"/>
        <v>0.78999999999999992</v>
      </c>
      <c r="F22" s="14">
        <f t="shared" si="5"/>
        <v>0.78999999999999992</v>
      </c>
      <c r="G22" s="14">
        <f t="shared" si="5"/>
        <v>0.79</v>
      </c>
      <c r="H22" s="14">
        <f t="shared" si="5"/>
        <v>0.79</v>
      </c>
      <c r="I22" s="14">
        <f t="shared" si="5"/>
        <v>0.78999999999999992</v>
      </c>
      <c r="J22" s="14">
        <f t="shared" si="5"/>
        <v>0.78999999999999992</v>
      </c>
      <c r="K22" s="14">
        <f t="shared" si="5"/>
        <v>0.78999999999999992</v>
      </c>
      <c r="L22" s="14">
        <f t="shared" si="5"/>
        <v>0.78999999999999992</v>
      </c>
      <c r="M22" s="14">
        <f t="shared" si="5"/>
        <v>0.79</v>
      </c>
      <c r="N22" s="14">
        <f t="shared" si="5"/>
        <v>0.78999999999999981</v>
      </c>
    </row>
    <row r="23" spans="1:14">
      <c r="A23" s="12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5">
      <c r="A24" s="17" t="s">
        <v>89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>
      <c r="A25" s="12" t="s">
        <v>90</v>
      </c>
      <c r="B25" s="15">
        <f>B11*Assumptions!$B$16</f>
        <v>108965.25</v>
      </c>
      <c r="C25" s="15">
        <f>C11*Assumptions!$B$16</f>
        <v>102705.40800000001</v>
      </c>
      <c r="D25" s="15">
        <f>D11*Assumptions!$B$16</f>
        <v>87171.876000000004</v>
      </c>
      <c r="E25" s="15">
        <f>E11*Assumptions!$B$16</f>
        <v>82840.320000000007</v>
      </c>
      <c r="F25" s="15">
        <f>F11*Assumptions!$B$16</f>
        <v>61812.504000000001</v>
      </c>
      <c r="G25" s="15">
        <f>G11*Assumptions!$B$16</f>
        <v>80251.56</v>
      </c>
      <c r="H25" s="15">
        <f>H11*Assumptions!$B$16</f>
        <v>108965.25</v>
      </c>
      <c r="I25" s="15">
        <f>I11*Assumptions!$B$16</f>
        <v>104131.87200000002</v>
      </c>
      <c r="J25" s="15">
        <f>J11*Assumptions!$B$16</f>
        <v>61812.504000000001</v>
      </c>
      <c r="K25" s="15">
        <f>K11*Assumptions!$B$16</f>
        <v>66833.91</v>
      </c>
      <c r="L25" s="15">
        <f>L11*Assumptions!$B$16</f>
        <v>91612.728000000003</v>
      </c>
      <c r="M25" s="15">
        <f>M11*Assumptions!$B$16</f>
        <v>95889.42</v>
      </c>
      <c r="N25" s="15">
        <f>SUM(B25:M25)</f>
        <v>1052992.602</v>
      </c>
    </row>
    <row r="26" spans="1:14">
      <c r="A26" s="12" t="s">
        <v>83</v>
      </c>
      <c r="B26" s="15">
        <f>B11*Assumptions!$B$17</f>
        <v>127126.12499999999</v>
      </c>
      <c r="C26" s="15">
        <f>C11*Assumptions!$B$17</f>
        <v>119822.97600000001</v>
      </c>
      <c r="D26" s="15">
        <f>D11*Assumptions!$B$17</f>
        <v>101700.52200000001</v>
      </c>
      <c r="E26" s="15">
        <f>E11*Assumptions!$B$17</f>
        <v>96647.040000000008</v>
      </c>
      <c r="F26" s="15">
        <f>F11*Assumptions!$B$17</f>
        <v>72114.588000000003</v>
      </c>
      <c r="G26" s="15">
        <f>G11*Assumptions!$B$17</f>
        <v>93626.819999999992</v>
      </c>
      <c r="H26" s="15">
        <f>H11*Assumptions!$B$17</f>
        <v>127126.12499999999</v>
      </c>
      <c r="I26" s="15">
        <f>I11*Assumptions!$B$17</f>
        <v>121487.18400000001</v>
      </c>
      <c r="J26" s="15">
        <f>J11*Assumptions!$B$17</f>
        <v>72114.588000000003</v>
      </c>
      <c r="K26" s="15">
        <f>K11*Assumptions!$B$17</f>
        <v>77972.895000000004</v>
      </c>
      <c r="L26" s="15">
        <f>L11*Assumptions!$B$17</f>
        <v>106881.516</v>
      </c>
      <c r="M26" s="15">
        <f>M11*Assumptions!$B$17</f>
        <v>111870.99</v>
      </c>
      <c r="N26" s="15">
        <f>SUM(B26:M26)</f>
        <v>1228491.3689999999</v>
      </c>
    </row>
    <row r="27" spans="1:14">
      <c r="A27" s="12" t="s">
        <v>85</v>
      </c>
      <c r="B27" s="15">
        <f>B11*Assumptions!$B$18</f>
        <v>45402.1875</v>
      </c>
      <c r="C27" s="15">
        <f>C11*Assumptions!$B$18</f>
        <v>42793.920000000006</v>
      </c>
      <c r="D27" s="15">
        <f>D11*Assumptions!$B$18</f>
        <v>36321.615000000005</v>
      </c>
      <c r="E27" s="15">
        <f>E11*Assumptions!$B$18</f>
        <v>34516.800000000003</v>
      </c>
      <c r="F27" s="15">
        <f>F11*Assumptions!$B$18</f>
        <v>25755.210000000003</v>
      </c>
      <c r="G27" s="15">
        <f>G11*Assumptions!$B$18</f>
        <v>33438.15</v>
      </c>
      <c r="H27" s="15">
        <f>H11*Assumptions!$B$18</f>
        <v>45402.1875</v>
      </c>
      <c r="I27" s="15">
        <f>I11*Assumptions!$B$18</f>
        <v>43388.280000000006</v>
      </c>
      <c r="J27" s="15">
        <f>J11*Assumptions!$B$18</f>
        <v>25755.210000000003</v>
      </c>
      <c r="K27" s="15">
        <f>K11*Assumptions!$B$18</f>
        <v>27847.462500000001</v>
      </c>
      <c r="L27" s="15">
        <f>L11*Assumptions!$B$18</f>
        <v>38171.97</v>
      </c>
      <c r="M27" s="15">
        <f>M11*Assumptions!$B$18</f>
        <v>39953.925000000003</v>
      </c>
      <c r="N27" s="15">
        <f>SUM(B27:M27)</f>
        <v>438746.91750000004</v>
      </c>
    </row>
    <row r="28" spans="1:14" ht="15">
      <c r="A28" s="19" t="s">
        <v>91</v>
      </c>
      <c r="B28" s="20">
        <f t="shared" ref="B28:M28" si="6">SUM(B25:B27)</f>
        <v>281493.5625</v>
      </c>
      <c r="C28" s="20">
        <f t="shared" si="6"/>
        <v>265322.304</v>
      </c>
      <c r="D28" s="20">
        <f t="shared" si="6"/>
        <v>225194.01300000004</v>
      </c>
      <c r="E28" s="20">
        <f t="shared" si="6"/>
        <v>214004.16000000003</v>
      </c>
      <c r="F28" s="20">
        <f t="shared" si="6"/>
        <v>159682.302</v>
      </c>
      <c r="G28" s="20">
        <f t="shared" si="6"/>
        <v>207316.53</v>
      </c>
      <c r="H28" s="20">
        <f t="shared" si="6"/>
        <v>281493.5625</v>
      </c>
      <c r="I28" s="20">
        <f t="shared" si="6"/>
        <v>269007.33600000007</v>
      </c>
      <c r="J28" s="20">
        <f t="shared" si="6"/>
        <v>159682.302</v>
      </c>
      <c r="K28" s="20">
        <f t="shared" si="6"/>
        <v>172654.26749999999</v>
      </c>
      <c r="L28" s="20">
        <f t="shared" si="6"/>
        <v>236666.21400000001</v>
      </c>
      <c r="M28" s="20">
        <f t="shared" si="6"/>
        <v>247714.33500000002</v>
      </c>
      <c r="N28" s="20">
        <f>SUM(B28:M28)</f>
        <v>2720230.8885000004</v>
      </c>
    </row>
    <row r="29" spans="1:14" ht="15">
      <c r="A29" s="19" t="s">
        <v>92</v>
      </c>
      <c r="B29" s="20">
        <f t="shared" ref="B29:M29" si="7">B11-B28</f>
        <v>81723.9375</v>
      </c>
      <c r="C29" s="20">
        <f t="shared" si="7"/>
        <v>77029.056000000041</v>
      </c>
      <c r="D29" s="20">
        <f t="shared" si="7"/>
        <v>65378.907000000007</v>
      </c>
      <c r="E29" s="20">
        <f t="shared" si="7"/>
        <v>62130.239999999991</v>
      </c>
      <c r="F29" s="20">
        <f t="shared" si="7"/>
        <v>46359.378000000026</v>
      </c>
      <c r="G29" s="20">
        <f t="shared" si="7"/>
        <v>60188.670000000013</v>
      </c>
      <c r="H29" s="20">
        <f t="shared" si="7"/>
        <v>81723.9375</v>
      </c>
      <c r="I29" s="20">
        <f t="shared" si="7"/>
        <v>78098.90399999998</v>
      </c>
      <c r="J29" s="20">
        <f t="shared" si="7"/>
        <v>46359.378000000026</v>
      </c>
      <c r="K29" s="20">
        <f t="shared" si="7"/>
        <v>50125.432500000024</v>
      </c>
      <c r="L29" s="20">
        <f t="shared" si="7"/>
        <v>68709.546000000002</v>
      </c>
      <c r="M29" s="20">
        <f t="shared" si="7"/>
        <v>71917.065000000002</v>
      </c>
      <c r="N29" s="20">
        <f>SUM(B29:M29)</f>
        <v>789744.45149999997</v>
      </c>
    </row>
    <row r="30" spans="1:14">
      <c r="A30" s="21" t="s">
        <v>93</v>
      </c>
      <c r="B30" s="14">
        <f t="shared" ref="B30:N30" si="8">B29/B11</f>
        <v>0.22500000000000001</v>
      </c>
      <c r="C30" s="14">
        <f t="shared" si="8"/>
        <v>0.22500000000000009</v>
      </c>
      <c r="D30" s="14">
        <f t="shared" si="8"/>
        <v>0.22499999999999998</v>
      </c>
      <c r="E30" s="14">
        <f t="shared" si="8"/>
        <v>0.22499999999999995</v>
      </c>
      <c r="F30" s="14">
        <f t="shared" si="8"/>
        <v>0.22500000000000009</v>
      </c>
      <c r="G30" s="14">
        <f t="shared" si="8"/>
        <v>0.22500000000000003</v>
      </c>
      <c r="H30" s="14">
        <f t="shared" si="8"/>
        <v>0.22500000000000001</v>
      </c>
      <c r="I30" s="14">
        <f t="shared" si="8"/>
        <v>0.22499999999999992</v>
      </c>
      <c r="J30" s="14">
        <f t="shared" si="8"/>
        <v>0.22500000000000009</v>
      </c>
      <c r="K30" s="14">
        <f t="shared" si="8"/>
        <v>0.22500000000000009</v>
      </c>
      <c r="L30" s="14">
        <f t="shared" si="8"/>
        <v>0.22500000000000001</v>
      </c>
      <c r="M30" s="14">
        <f t="shared" si="8"/>
        <v>0.22499999999999998</v>
      </c>
      <c r="N30" s="14">
        <f t="shared" si="8"/>
        <v>0.22499999999999998</v>
      </c>
    </row>
    <row r="31" spans="1:14">
      <c r="A31" s="12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5">
      <c r="A32" s="17" t="s">
        <v>94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>
      <c r="A33" s="12" t="s">
        <v>83</v>
      </c>
      <c r="B33" s="15">
        <f>B12*Assumptions!$B$19</f>
        <v>36321.75</v>
      </c>
      <c r="C33" s="15">
        <f>C12*Assumptions!$B$19</f>
        <v>34235.136000000006</v>
      </c>
      <c r="D33" s="15">
        <f>D12*Assumptions!$B$19</f>
        <v>29057.292000000005</v>
      </c>
      <c r="E33" s="15">
        <f>E12*Assumptions!$B$19</f>
        <v>27613.440000000002</v>
      </c>
      <c r="F33" s="15">
        <f>F12*Assumptions!$B$19</f>
        <v>20604.168000000005</v>
      </c>
      <c r="G33" s="15">
        <f>G12*Assumptions!$B$19</f>
        <v>26750.520000000004</v>
      </c>
      <c r="H33" s="15">
        <f>H12*Assumptions!$B$19</f>
        <v>36321.75</v>
      </c>
      <c r="I33" s="15">
        <f>I12*Assumptions!$B$19</f>
        <v>34710.624000000003</v>
      </c>
      <c r="J33" s="15">
        <f>J12*Assumptions!$B$19</f>
        <v>20604.168000000005</v>
      </c>
      <c r="K33" s="15">
        <f>K12*Assumptions!$B$19</f>
        <v>22277.97</v>
      </c>
      <c r="L33" s="15">
        <f>L12*Assumptions!$B$19</f>
        <v>30537.576000000001</v>
      </c>
      <c r="M33" s="15">
        <f>M12*Assumptions!$B$19</f>
        <v>31963.140000000003</v>
      </c>
      <c r="N33" s="15">
        <f>SUM(B33:M33)</f>
        <v>350997.5340000001</v>
      </c>
    </row>
    <row r="34" spans="1:14">
      <c r="A34" s="12" t="s">
        <v>85</v>
      </c>
      <c r="B34" s="15">
        <f>B12*Assumptions!$B$20</f>
        <v>20430.984375</v>
      </c>
      <c r="C34" s="15">
        <f>C12*Assumptions!$B$20</f>
        <v>19257.264000000003</v>
      </c>
      <c r="D34" s="15">
        <f>D12*Assumptions!$B$20</f>
        <v>16344.726750000003</v>
      </c>
      <c r="E34" s="15">
        <f>E12*Assumptions!$B$20</f>
        <v>15532.560000000001</v>
      </c>
      <c r="F34" s="15">
        <f>F12*Assumptions!$B$20</f>
        <v>11589.844500000001</v>
      </c>
      <c r="G34" s="15">
        <f>G12*Assumptions!$B$20</f>
        <v>15047.167500000001</v>
      </c>
      <c r="H34" s="15">
        <f>H12*Assumptions!$B$20</f>
        <v>20430.984375</v>
      </c>
      <c r="I34" s="15">
        <f>I12*Assumptions!$B$20</f>
        <v>19524.726000000002</v>
      </c>
      <c r="J34" s="15">
        <f>J12*Assumptions!$B$20</f>
        <v>11589.844500000001</v>
      </c>
      <c r="K34" s="15">
        <f>K12*Assumptions!$B$20</f>
        <v>12531.358125000001</v>
      </c>
      <c r="L34" s="15">
        <f>L12*Assumptions!$B$20</f>
        <v>17177.386500000001</v>
      </c>
      <c r="M34" s="15">
        <f>M12*Assumptions!$B$20</f>
        <v>17979.266250000001</v>
      </c>
      <c r="N34" s="15">
        <f>SUM(B34:M34)</f>
        <v>197436.11287499999</v>
      </c>
    </row>
    <row r="35" spans="1:14" ht="15">
      <c r="A35" s="19" t="s">
        <v>95</v>
      </c>
      <c r="B35" s="20">
        <f t="shared" ref="B35:M35" si="9">SUM(B33:B34)</f>
        <v>56752.734375</v>
      </c>
      <c r="C35" s="20">
        <f t="shared" si="9"/>
        <v>53492.400000000009</v>
      </c>
      <c r="D35" s="20">
        <f t="shared" si="9"/>
        <v>45402.01875000001</v>
      </c>
      <c r="E35" s="20">
        <f t="shared" si="9"/>
        <v>43146</v>
      </c>
      <c r="F35" s="20">
        <f t="shared" si="9"/>
        <v>32194.012500000004</v>
      </c>
      <c r="G35" s="20">
        <f t="shared" si="9"/>
        <v>41797.687500000007</v>
      </c>
      <c r="H35" s="20">
        <f t="shared" si="9"/>
        <v>56752.734375</v>
      </c>
      <c r="I35" s="20">
        <f t="shared" si="9"/>
        <v>54235.350000000006</v>
      </c>
      <c r="J35" s="20">
        <f t="shared" si="9"/>
        <v>32194.012500000004</v>
      </c>
      <c r="K35" s="20">
        <f t="shared" si="9"/>
        <v>34809.328125</v>
      </c>
      <c r="L35" s="20">
        <f t="shared" si="9"/>
        <v>47714.962500000001</v>
      </c>
      <c r="M35" s="20">
        <f t="shared" si="9"/>
        <v>49942.40625</v>
      </c>
      <c r="N35" s="20">
        <f>SUM(B35:M35)</f>
        <v>548433.64687500009</v>
      </c>
    </row>
    <row r="36" spans="1:14" ht="15">
      <c r="A36" s="19" t="s">
        <v>96</v>
      </c>
      <c r="B36" s="20">
        <f t="shared" ref="B36:M36" si="10">B12-B35</f>
        <v>34051.640625</v>
      </c>
      <c r="C36" s="20">
        <f t="shared" si="10"/>
        <v>32095.440000000002</v>
      </c>
      <c r="D36" s="20">
        <f t="shared" si="10"/>
        <v>27241.21125</v>
      </c>
      <c r="E36" s="20">
        <f t="shared" si="10"/>
        <v>25887.600000000006</v>
      </c>
      <c r="F36" s="20">
        <f t="shared" si="10"/>
        <v>19316.407500000001</v>
      </c>
      <c r="G36" s="20">
        <f t="shared" si="10"/>
        <v>25078.612499999996</v>
      </c>
      <c r="H36" s="20">
        <f t="shared" si="10"/>
        <v>34051.640625</v>
      </c>
      <c r="I36" s="20">
        <f t="shared" si="10"/>
        <v>32541.210000000006</v>
      </c>
      <c r="J36" s="20">
        <f t="shared" si="10"/>
        <v>19316.407500000001</v>
      </c>
      <c r="K36" s="20">
        <f t="shared" si="10"/>
        <v>20885.596875000003</v>
      </c>
      <c r="L36" s="20">
        <f t="shared" si="10"/>
        <v>28628.977500000001</v>
      </c>
      <c r="M36" s="20">
        <f t="shared" si="10"/>
        <v>29965.443750000006</v>
      </c>
      <c r="N36" s="20">
        <f>SUM(B36:M36)</f>
        <v>329060.18812499999</v>
      </c>
    </row>
    <row r="37" spans="1:14">
      <c r="A37" s="21" t="s">
        <v>97</v>
      </c>
      <c r="B37" s="14">
        <f t="shared" ref="B37:N37" si="11">B36/B12</f>
        <v>0.375</v>
      </c>
      <c r="C37" s="14">
        <f t="shared" si="11"/>
        <v>0.375</v>
      </c>
      <c r="D37" s="14">
        <f t="shared" si="11"/>
        <v>0.37499999999999994</v>
      </c>
      <c r="E37" s="14">
        <f t="shared" si="11"/>
        <v>0.37500000000000006</v>
      </c>
      <c r="F37" s="14">
        <f t="shared" si="11"/>
        <v>0.375</v>
      </c>
      <c r="G37" s="14">
        <f t="shared" si="11"/>
        <v>0.37499999999999994</v>
      </c>
      <c r="H37" s="14">
        <f t="shared" si="11"/>
        <v>0.375</v>
      </c>
      <c r="I37" s="14">
        <f t="shared" si="11"/>
        <v>0.375</v>
      </c>
      <c r="J37" s="14">
        <f t="shared" si="11"/>
        <v>0.375</v>
      </c>
      <c r="K37" s="14">
        <f t="shared" si="11"/>
        <v>0.37500000000000006</v>
      </c>
      <c r="L37" s="14">
        <f t="shared" si="11"/>
        <v>0.375</v>
      </c>
      <c r="M37" s="14">
        <f t="shared" si="11"/>
        <v>0.37500000000000006</v>
      </c>
      <c r="N37" s="14">
        <f t="shared" si="11"/>
        <v>0.37499999999999994</v>
      </c>
    </row>
    <row r="38" spans="1:14">
      <c r="A38" s="12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>
      <c r="A39" s="17" t="s">
        <v>98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5">
      <c r="A40" s="19" t="s">
        <v>99</v>
      </c>
      <c r="B40" s="20">
        <f t="shared" ref="B40:M40" si="12">B20+B28+B35</f>
        <v>528935.484375</v>
      </c>
      <c r="C40" s="20">
        <f t="shared" si="12"/>
        <v>498549.16800000006</v>
      </c>
      <c r="D40" s="20">
        <f t="shared" si="12"/>
        <v>423146.81475000008</v>
      </c>
      <c r="E40" s="20">
        <f t="shared" si="12"/>
        <v>402120.72000000003</v>
      </c>
      <c r="F40" s="20">
        <f t="shared" si="12"/>
        <v>300048.19650000002</v>
      </c>
      <c r="G40" s="20">
        <f t="shared" si="12"/>
        <v>389554.44750000001</v>
      </c>
      <c r="H40" s="20">
        <f t="shared" si="12"/>
        <v>528935.484375</v>
      </c>
      <c r="I40" s="20">
        <f t="shared" si="12"/>
        <v>505473.46200000006</v>
      </c>
      <c r="J40" s="20">
        <f t="shared" si="12"/>
        <v>300048.19650000002</v>
      </c>
      <c r="K40" s="20">
        <f t="shared" si="12"/>
        <v>324422.93812499999</v>
      </c>
      <c r="L40" s="20">
        <f t="shared" si="12"/>
        <v>444703.45050000004</v>
      </c>
      <c r="M40" s="20">
        <f t="shared" si="12"/>
        <v>465463.22625000007</v>
      </c>
      <c r="N40" s="20">
        <f>SUM(B40:M40)</f>
        <v>5111401.5888750013</v>
      </c>
    </row>
    <row r="41" spans="1:14" ht="15">
      <c r="A41" s="19" t="s">
        <v>100</v>
      </c>
      <c r="B41" s="20">
        <f t="shared" ref="B41:M41" si="13">B14-B40</f>
        <v>833130.140625</v>
      </c>
      <c r="C41" s="20">
        <f t="shared" si="13"/>
        <v>785268.43200000003</v>
      </c>
      <c r="D41" s="20">
        <f t="shared" si="13"/>
        <v>666501.63525000005</v>
      </c>
      <c r="E41" s="20">
        <f t="shared" si="13"/>
        <v>633383.28</v>
      </c>
      <c r="F41" s="20">
        <f t="shared" si="13"/>
        <v>472608.10350000003</v>
      </c>
      <c r="G41" s="20">
        <f t="shared" si="13"/>
        <v>613590.05249999999</v>
      </c>
      <c r="H41" s="20">
        <f t="shared" si="13"/>
        <v>833130.140625</v>
      </c>
      <c r="I41" s="20">
        <f t="shared" si="13"/>
        <v>796174.93800000008</v>
      </c>
      <c r="J41" s="20">
        <f t="shared" si="13"/>
        <v>472608.10350000003</v>
      </c>
      <c r="K41" s="20">
        <f t="shared" si="13"/>
        <v>511000.93687500001</v>
      </c>
      <c r="L41" s="20">
        <f t="shared" si="13"/>
        <v>700455.64950000006</v>
      </c>
      <c r="M41" s="20">
        <f t="shared" si="13"/>
        <v>733154.52374999993</v>
      </c>
      <c r="N41" s="20">
        <f>SUM(B41:M41)</f>
        <v>8051005.9361250009</v>
      </c>
    </row>
    <row r="42" spans="1:14">
      <c r="A42" s="21" t="s">
        <v>101</v>
      </c>
      <c r="B42" s="14">
        <f t="shared" ref="B42:N42" si="14">B41/B14</f>
        <v>0.61166666666666669</v>
      </c>
      <c r="C42" s="14">
        <f t="shared" si="14"/>
        <v>0.61166666666666669</v>
      </c>
      <c r="D42" s="14">
        <f t="shared" si="14"/>
        <v>0.61166666666666658</v>
      </c>
      <c r="E42" s="14">
        <f t="shared" si="14"/>
        <v>0.61166666666666669</v>
      </c>
      <c r="F42" s="14">
        <f t="shared" si="14"/>
        <v>0.61166666666666669</v>
      </c>
      <c r="G42" s="14">
        <f t="shared" si="14"/>
        <v>0.61166666666666669</v>
      </c>
      <c r="H42" s="14">
        <f t="shared" si="14"/>
        <v>0.61166666666666669</v>
      </c>
      <c r="I42" s="14">
        <f t="shared" si="14"/>
        <v>0.61166666666666669</v>
      </c>
      <c r="J42" s="14">
        <f t="shared" si="14"/>
        <v>0.61166666666666669</v>
      </c>
      <c r="K42" s="14">
        <f t="shared" si="14"/>
        <v>0.61166666666666669</v>
      </c>
      <c r="L42" s="14">
        <f t="shared" si="14"/>
        <v>0.61166666666666669</v>
      </c>
      <c r="M42" s="14">
        <f t="shared" si="14"/>
        <v>0.61166666666666658</v>
      </c>
      <c r="N42" s="14">
        <f t="shared" si="14"/>
        <v>0.61166666666666669</v>
      </c>
    </row>
    <row r="43" spans="1:14">
      <c r="A43" s="12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>
      <c r="A44" s="17" t="s">
        <v>102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>
      <c r="A45" s="12" t="s">
        <v>103</v>
      </c>
      <c r="B45" s="15">
        <f>B14*Assumptions!$B$21</f>
        <v>122585.90625</v>
      </c>
      <c r="C45" s="15">
        <f>C14*Assumptions!$B$21</f>
        <v>115543.584</v>
      </c>
      <c r="D45" s="15">
        <f>D14*Assumptions!$B$21</f>
        <v>98068.36050000001</v>
      </c>
      <c r="E45" s="15">
        <f>E14*Assumptions!$B$21</f>
        <v>93195.36</v>
      </c>
      <c r="F45" s="15">
        <f>F14*Assumptions!$B$21</f>
        <v>69539.066999999995</v>
      </c>
      <c r="G45" s="15">
        <f>G14*Assumptions!$B$21</f>
        <v>90283.00499999999</v>
      </c>
      <c r="H45" s="15">
        <f>H14*Assumptions!$B$21</f>
        <v>122585.90625</v>
      </c>
      <c r="I45" s="15">
        <f>I14*Assumptions!$B$21</f>
        <v>117148.35600000001</v>
      </c>
      <c r="J45" s="15">
        <f>J14*Assumptions!$B$21</f>
        <v>69539.066999999995</v>
      </c>
      <c r="K45" s="15">
        <f>K14*Assumptions!$B$21</f>
        <v>75188.148749999993</v>
      </c>
      <c r="L45" s="15">
        <f>L14*Assumptions!$B$21</f>
        <v>103064.319</v>
      </c>
      <c r="M45" s="15">
        <f>M14*Assumptions!$B$21</f>
        <v>107875.59749999999</v>
      </c>
      <c r="N45" s="15">
        <f t="shared" ref="N45:N50" si="15">SUM(B45:M45)</f>
        <v>1184616.6772499997</v>
      </c>
    </row>
    <row r="46" spans="1:14">
      <c r="A46" s="12" t="s">
        <v>104</v>
      </c>
      <c r="B46" s="15">
        <f>B14*Assumptions!$B$22</f>
        <v>20430.984375</v>
      </c>
      <c r="C46" s="15">
        <f>C14*Assumptions!$B$22</f>
        <v>19257.263999999999</v>
      </c>
      <c r="D46" s="15">
        <f>D14*Assumptions!$B$22</f>
        <v>16344.726750000002</v>
      </c>
      <c r="E46" s="15">
        <f>E14*Assumptions!$B$22</f>
        <v>15532.56</v>
      </c>
      <c r="F46" s="15">
        <f>F14*Assumptions!$B$22</f>
        <v>11589.844500000001</v>
      </c>
      <c r="G46" s="15">
        <f>G14*Assumptions!$B$22</f>
        <v>15047.1675</v>
      </c>
      <c r="H46" s="15">
        <f>H14*Assumptions!$B$22</f>
        <v>20430.984375</v>
      </c>
      <c r="I46" s="15">
        <f>I14*Assumptions!$B$22</f>
        <v>19524.726000000002</v>
      </c>
      <c r="J46" s="15">
        <f>J14*Assumptions!$B$22</f>
        <v>11589.844500000001</v>
      </c>
      <c r="K46" s="15">
        <f>K14*Assumptions!$B$22</f>
        <v>12531.358124999999</v>
      </c>
      <c r="L46" s="15">
        <f>L14*Assumptions!$B$22</f>
        <v>17177.386500000001</v>
      </c>
      <c r="M46" s="15">
        <f>M14*Assumptions!$B$22</f>
        <v>17979.266250000001</v>
      </c>
      <c r="N46" s="15">
        <f t="shared" si="15"/>
        <v>197436.11287499999</v>
      </c>
    </row>
    <row r="47" spans="1:14">
      <c r="A47" s="12" t="s">
        <v>105</v>
      </c>
      <c r="B47" s="15">
        <f>B14*Assumptions!$B$23</f>
        <v>122585.90625</v>
      </c>
      <c r="C47" s="15">
        <f>C14*Assumptions!$B$23</f>
        <v>115543.584</v>
      </c>
      <c r="D47" s="15">
        <f>D14*Assumptions!$B$23</f>
        <v>98068.36050000001</v>
      </c>
      <c r="E47" s="15">
        <f>E14*Assumptions!$B$23</f>
        <v>93195.36</v>
      </c>
      <c r="F47" s="15">
        <f>F14*Assumptions!$B$23</f>
        <v>69539.066999999995</v>
      </c>
      <c r="G47" s="15">
        <f>G14*Assumptions!$B$23</f>
        <v>90283.00499999999</v>
      </c>
      <c r="H47" s="15">
        <f>H14*Assumptions!$B$23</f>
        <v>122585.90625</v>
      </c>
      <c r="I47" s="15">
        <f>I14*Assumptions!$B$23</f>
        <v>117148.35600000001</v>
      </c>
      <c r="J47" s="15">
        <f>J14*Assumptions!$B$23</f>
        <v>69539.066999999995</v>
      </c>
      <c r="K47" s="15">
        <f>K14*Assumptions!$B$23</f>
        <v>75188.148749999993</v>
      </c>
      <c r="L47" s="15">
        <f>L14*Assumptions!$B$23</f>
        <v>103064.319</v>
      </c>
      <c r="M47" s="15">
        <f>M14*Assumptions!$B$23</f>
        <v>107875.59749999999</v>
      </c>
      <c r="N47" s="15">
        <f t="shared" si="15"/>
        <v>1184616.6772499997</v>
      </c>
    </row>
    <row r="48" spans="1:14">
      <c r="A48" s="12" t="s">
        <v>106</v>
      </c>
      <c r="B48" s="15">
        <f>B14*Assumptions!$B$24</f>
        <v>61292.953125</v>
      </c>
      <c r="C48" s="15">
        <f>C14*Assumptions!$B$24</f>
        <v>57771.792000000001</v>
      </c>
      <c r="D48" s="15">
        <f>D14*Assumptions!$B$24</f>
        <v>49034.180250000005</v>
      </c>
      <c r="E48" s="15">
        <f>E14*Assumptions!$B$24</f>
        <v>46597.68</v>
      </c>
      <c r="F48" s="15">
        <f>F14*Assumptions!$B$24</f>
        <v>34769.533499999998</v>
      </c>
      <c r="G48" s="15">
        <f>G14*Assumptions!$B$24</f>
        <v>45141.502499999995</v>
      </c>
      <c r="H48" s="15">
        <f>H14*Assumptions!$B$24</f>
        <v>61292.953125</v>
      </c>
      <c r="I48" s="15">
        <f>I14*Assumptions!$B$24</f>
        <v>58574.178000000007</v>
      </c>
      <c r="J48" s="15">
        <f>J14*Assumptions!$B$24</f>
        <v>34769.533499999998</v>
      </c>
      <c r="K48" s="15">
        <f>K14*Assumptions!$B$24</f>
        <v>37594.074374999997</v>
      </c>
      <c r="L48" s="15">
        <f>L14*Assumptions!$B$24</f>
        <v>51532.159500000002</v>
      </c>
      <c r="M48" s="15">
        <f>M14*Assumptions!$B$24</f>
        <v>53937.798749999994</v>
      </c>
      <c r="N48" s="15">
        <f t="shared" si="15"/>
        <v>592308.33862499986</v>
      </c>
    </row>
    <row r="49" spans="1:14">
      <c r="A49" s="12" t="s">
        <v>107</v>
      </c>
      <c r="B49" s="15">
        <f>B14*Assumptions!$B$25</f>
        <v>74913.609375</v>
      </c>
      <c r="C49" s="15">
        <f>C14*Assumptions!$B$25</f>
        <v>70609.968000000008</v>
      </c>
      <c r="D49" s="15">
        <f>D14*Assumptions!$B$25</f>
        <v>59930.664750000011</v>
      </c>
      <c r="E49" s="15">
        <f>E14*Assumptions!$B$25</f>
        <v>56952.72</v>
      </c>
      <c r="F49" s="15">
        <f>F14*Assumptions!$B$25</f>
        <v>42496.0965</v>
      </c>
      <c r="G49" s="15">
        <f>G14*Assumptions!$B$25</f>
        <v>55172.947500000002</v>
      </c>
      <c r="H49" s="15">
        <f>H14*Assumptions!$B$25</f>
        <v>74913.609375</v>
      </c>
      <c r="I49" s="15">
        <f>I14*Assumptions!$B$25</f>
        <v>71590.662000000011</v>
      </c>
      <c r="J49" s="15">
        <f>J14*Assumptions!$B$25</f>
        <v>42496.0965</v>
      </c>
      <c r="K49" s="15">
        <f>K14*Assumptions!$B$25</f>
        <v>45948.313125000001</v>
      </c>
      <c r="L49" s="15">
        <f>L14*Assumptions!$B$25</f>
        <v>62983.750500000002</v>
      </c>
      <c r="M49" s="15">
        <f>M14*Assumptions!$B$25</f>
        <v>65923.976250000007</v>
      </c>
      <c r="N49" s="15">
        <f t="shared" si="15"/>
        <v>723932.41387499985</v>
      </c>
    </row>
    <row r="50" spans="1:14" ht="15">
      <c r="A50" s="19" t="s">
        <v>108</v>
      </c>
      <c r="B50" s="20">
        <f t="shared" ref="B50:M50" si="16">SUM(B45:B49)</f>
        <v>401809.359375</v>
      </c>
      <c r="C50" s="20">
        <f t="shared" si="16"/>
        <v>378726.19199999998</v>
      </c>
      <c r="D50" s="20">
        <f t="shared" si="16"/>
        <v>321446.29275000002</v>
      </c>
      <c r="E50" s="20">
        <f t="shared" si="16"/>
        <v>305473.68</v>
      </c>
      <c r="F50" s="20">
        <f t="shared" si="16"/>
        <v>227933.60849999997</v>
      </c>
      <c r="G50" s="20">
        <f t="shared" si="16"/>
        <v>295927.6275</v>
      </c>
      <c r="H50" s="20">
        <f t="shared" si="16"/>
        <v>401809.359375</v>
      </c>
      <c r="I50" s="20">
        <f t="shared" si="16"/>
        <v>383986.27800000005</v>
      </c>
      <c r="J50" s="20">
        <f t="shared" si="16"/>
        <v>227933.60849999997</v>
      </c>
      <c r="K50" s="20">
        <f t="shared" si="16"/>
        <v>246450.04312499997</v>
      </c>
      <c r="L50" s="20">
        <f t="shared" si="16"/>
        <v>337821.93450000003</v>
      </c>
      <c r="M50" s="20">
        <f t="shared" si="16"/>
        <v>353592.23625000002</v>
      </c>
      <c r="N50" s="20">
        <f t="shared" si="15"/>
        <v>3882910.219875</v>
      </c>
    </row>
    <row r="51" spans="1:14">
      <c r="A51" s="12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>
      <c r="A52" s="22" t="s">
        <v>109</v>
      </c>
      <c r="B52" s="23">
        <f t="shared" ref="B52:M52" si="17">B41-B50</f>
        <v>431320.78125</v>
      </c>
      <c r="C52" s="23">
        <f t="shared" si="17"/>
        <v>406542.24000000005</v>
      </c>
      <c r="D52" s="23">
        <f t="shared" si="17"/>
        <v>345055.34250000003</v>
      </c>
      <c r="E52" s="23">
        <f t="shared" si="17"/>
        <v>327909.60000000003</v>
      </c>
      <c r="F52" s="23">
        <f t="shared" si="17"/>
        <v>244674.49500000005</v>
      </c>
      <c r="G52" s="23">
        <f t="shared" si="17"/>
        <v>317662.42499999999</v>
      </c>
      <c r="H52" s="23">
        <f t="shared" si="17"/>
        <v>431320.78125</v>
      </c>
      <c r="I52" s="23">
        <f t="shared" si="17"/>
        <v>412188.66000000003</v>
      </c>
      <c r="J52" s="23">
        <f t="shared" si="17"/>
        <v>244674.49500000005</v>
      </c>
      <c r="K52" s="23">
        <f t="shared" si="17"/>
        <v>264550.89375000005</v>
      </c>
      <c r="L52" s="23">
        <f t="shared" si="17"/>
        <v>362633.71500000003</v>
      </c>
      <c r="M52" s="23">
        <f t="shared" si="17"/>
        <v>379562.28749999992</v>
      </c>
      <c r="N52" s="23">
        <f>SUM(B52:M52)</f>
        <v>4168095.7162500001</v>
      </c>
    </row>
    <row r="53" spans="1:14">
      <c r="A53" s="21" t="s">
        <v>110</v>
      </c>
      <c r="B53" s="14">
        <f t="shared" ref="B53:N53" si="18">B52/B14</f>
        <v>0.31666666666666665</v>
      </c>
      <c r="C53" s="14">
        <f t="shared" si="18"/>
        <v>0.31666666666666671</v>
      </c>
      <c r="D53" s="14">
        <f t="shared" si="18"/>
        <v>0.31666666666666665</v>
      </c>
      <c r="E53" s="14">
        <f t="shared" si="18"/>
        <v>0.31666666666666671</v>
      </c>
      <c r="F53" s="14">
        <f t="shared" si="18"/>
        <v>0.31666666666666671</v>
      </c>
      <c r="G53" s="14">
        <f t="shared" si="18"/>
        <v>0.31666666666666665</v>
      </c>
      <c r="H53" s="14">
        <f t="shared" si="18"/>
        <v>0.31666666666666665</v>
      </c>
      <c r="I53" s="14">
        <f t="shared" si="18"/>
        <v>0.31666666666666665</v>
      </c>
      <c r="J53" s="14">
        <f t="shared" si="18"/>
        <v>0.31666666666666671</v>
      </c>
      <c r="K53" s="14">
        <f t="shared" si="18"/>
        <v>0.31666666666666671</v>
      </c>
      <c r="L53" s="14">
        <f t="shared" si="18"/>
        <v>0.31666666666666665</v>
      </c>
      <c r="M53" s="14">
        <f t="shared" si="18"/>
        <v>0.3166666666666666</v>
      </c>
      <c r="N53" s="14">
        <f t="shared" si="18"/>
        <v>0.31666666666666665</v>
      </c>
    </row>
    <row r="54" spans="1:14">
      <c r="A54" s="12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>
      <c r="A55" s="17" t="s">
        <v>111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>
      <c r="A56" s="12" t="s">
        <v>112</v>
      </c>
      <c r="B56" s="15">
        <f>B14*Assumptions!$B$26</f>
        <v>27241.3125</v>
      </c>
      <c r="C56" s="15">
        <f>C14*Assumptions!$B$26</f>
        <v>25676.352000000003</v>
      </c>
      <c r="D56" s="15">
        <f>D14*Assumptions!$B$26</f>
        <v>21792.969000000005</v>
      </c>
      <c r="E56" s="15">
        <f>E14*Assumptions!$B$26</f>
        <v>20710.080000000002</v>
      </c>
      <c r="F56" s="15">
        <f>F14*Assumptions!$B$26</f>
        <v>15453.126000000002</v>
      </c>
      <c r="G56" s="15">
        <f>G14*Assumptions!$B$26</f>
        <v>20062.89</v>
      </c>
      <c r="H56" s="15">
        <f>H14*Assumptions!$B$26</f>
        <v>27241.3125</v>
      </c>
      <c r="I56" s="15">
        <f>I14*Assumptions!$B$26</f>
        <v>26032.968000000004</v>
      </c>
      <c r="J56" s="15">
        <f>J14*Assumptions!$B$26</f>
        <v>15453.126000000002</v>
      </c>
      <c r="K56" s="15">
        <f>K14*Assumptions!$B$26</f>
        <v>16708.477500000001</v>
      </c>
      <c r="L56" s="15">
        <f>L14*Assumptions!$B$26</f>
        <v>22903.182000000001</v>
      </c>
      <c r="M56" s="15">
        <f>M14*Assumptions!$B$26</f>
        <v>23972.355</v>
      </c>
      <c r="N56" s="15">
        <f>SUM(B56:M56)</f>
        <v>263248.15049999999</v>
      </c>
    </row>
    <row r="57" spans="1:14">
      <c r="A57" s="12" t="s">
        <v>113</v>
      </c>
      <c r="B57" s="15">
        <f>B52*Assumptions!$B$27</f>
        <v>34505.662499999999</v>
      </c>
      <c r="C57" s="15">
        <f>C52*Assumptions!$B$27</f>
        <v>32523.379200000003</v>
      </c>
      <c r="D57" s="15">
        <f>D52*Assumptions!$B$27</f>
        <v>27604.427400000004</v>
      </c>
      <c r="E57" s="15">
        <f>E52*Assumptions!$B$27</f>
        <v>26232.768000000004</v>
      </c>
      <c r="F57" s="15">
        <f>F52*Assumptions!$B$27</f>
        <v>19573.959600000006</v>
      </c>
      <c r="G57" s="15">
        <f>G52*Assumptions!$B$27</f>
        <v>25412.993999999999</v>
      </c>
      <c r="H57" s="15">
        <f>H52*Assumptions!$B$27</f>
        <v>34505.662499999999</v>
      </c>
      <c r="I57" s="15">
        <f>I52*Assumptions!$B$27</f>
        <v>32975.092800000006</v>
      </c>
      <c r="J57" s="15">
        <f>J52*Assumptions!$B$27</f>
        <v>19573.959600000006</v>
      </c>
      <c r="K57" s="15">
        <f>K52*Assumptions!$B$27</f>
        <v>21164.071500000005</v>
      </c>
      <c r="L57" s="15">
        <f>L52*Assumptions!$B$27</f>
        <v>29010.697200000002</v>
      </c>
      <c r="M57" s="15">
        <f>M52*Assumptions!$B$27</f>
        <v>30364.982999999993</v>
      </c>
      <c r="N57" s="15">
        <f>SUM(B57:M57)</f>
        <v>333447.65730000002</v>
      </c>
    </row>
    <row r="58" spans="1:14">
      <c r="A58" s="12" t="s">
        <v>114</v>
      </c>
      <c r="B58" s="15">
        <f>B14*Assumptions!$B$28</f>
        <v>54482.625</v>
      </c>
      <c r="C58" s="15">
        <f>C14*Assumptions!$B$28</f>
        <v>51352.704000000005</v>
      </c>
      <c r="D58" s="15">
        <f>D14*Assumptions!$B$28</f>
        <v>43585.938000000009</v>
      </c>
      <c r="E58" s="15">
        <f>E14*Assumptions!$B$28</f>
        <v>41420.160000000003</v>
      </c>
      <c r="F58" s="15">
        <f>F14*Assumptions!$B$28</f>
        <v>30906.252000000004</v>
      </c>
      <c r="G58" s="15">
        <f>G14*Assumptions!$B$28</f>
        <v>40125.78</v>
      </c>
      <c r="H58" s="15">
        <f>H14*Assumptions!$B$28</f>
        <v>54482.625</v>
      </c>
      <c r="I58" s="15">
        <f>I14*Assumptions!$B$28</f>
        <v>52065.936000000009</v>
      </c>
      <c r="J58" s="15">
        <f>J14*Assumptions!$B$28</f>
        <v>30906.252000000004</v>
      </c>
      <c r="K58" s="15">
        <f>K14*Assumptions!$B$28</f>
        <v>33416.955000000002</v>
      </c>
      <c r="L58" s="15">
        <f>L14*Assumptions!$B$28</f>
        <v>45806.364000000001</v>
      </c>
      <c r="M58" s="15">
        <f>M14*Assumptions!$B$28</f>
        <v>47944.71</v>
      </c>
      <c r="N58" s="15">
        <f>SUM(B58:M58)</f>
        <v>526496.30099999998</v>
      </c>
    </row>
    <row r="59" spans="1:14">
      <c r="A59" s="12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>
      <c r="A60" s="24" t="s">
        <v>115</v>
      </c>
      <c r="B60" s="25">
        <f t="shared" ref="B60:M60" si="19">B52-B56-B57-B58</f>
        <v>315091.18125000002</v>
      </c>
      <c r="C60" s="25">
        <f t="shared" si="19"/>
        <v>296989.80479999998</v>
      </c>
      <c r="D60" s="25">
        <f t="shared" si="19"/>
        <v>252072.00810000004</v>
      </c>
      <c r="E60" s="25">
        <f t="shared" si="19"/>
        <v>239546.59200000003</v>
      </c>
      <c r="F60" s="25">
        <f t="shared" si="19"/>
        <v>178741.15740000005</v>
      </c>
      <c r="G60" s="25">
        <f t="shared" si="19"/>
        <v>232060.76099999997</v>
      </c>
      <c r="H60" s="25">
        <f t="shared" si="19"/>
        <v>315091.18125000002</v>
      </c>
      <c r="I60" s="25">
        <f t="shared" si="19"/>
        <v>301114.66320000007</v>
      </c>
      <c r="J60" s="25">
        <f t="shared" si="19"/>
        <v>178741.15740000005</v>
      </c>
      <c r="K60" s="25">
        <f t="shared" si="19"/>
        <v>193261.38975000003</v>
      </c>
      <c r="L60" s="25">
        <f t="shared" si="19"/>
        <v>264913.47180000006</v>
      </c>
      <c r="M60" s="25">
        <f t="shared" si="19"/>
        <v>277280.23949999991</v>
      </c>
      <c r="N60" s="25">
        <f>SUM(B60:M60)</f>
        <v>3044903.60745</v>
      </c>
    </row>
    <row r="61" spans="1:14">
      <c r="A61" s="21" t="s">
        <v>116</v>
      </c>
      <c r="B61" s="14">
        <f t="shared" ref="B61:N61" si="20">B60/B14</f>
        <v>0.23133333333333336</v>
      </c>
      <c r="C61" s="14">
        <f t="shared" si="20"/>
        <v>0.23133333333333331</v>
      </c>
      <c r="D61" s="14">
        <f t="shared" si="20"/>
        <v>0.23133333333333334</v>
      </c>
      <c r="E61" s="14">
        <f t="shared" si="20"/>
        <v>0.23133333333333336</v>
      </c>
      <c r="F61" s="14">
        <f t="shared" si="20"/>
        <v>0.23133333333333339</v>
      </c>
      <c r="G61" s="14">
        <f t="shared" si="20"/>
        <v>0.23133333333333331</v>
      </c>
      <c r="H61" s="14">
        <f t="shared" si="20"/>
        <v>0.23133333333333336</v>
      </c>
      <c r="I61" s="14">
        <f t="shared" si="20"/>
        <v>0.23133333333333336</v>
      </c>
      <c r="J61" s="14">
        <f t="shared" si="20"/>
        <v>0.23133333333333339</v>
      </c>
      <c r="K61" s="14">
        <f t="shared" si="20"/>
        <v>0.23133333333333336</v>
      </c>
      <c r="L61" s="14">
        <f t="shared" si="20"/>
        <v>0.23133333333333336</v>
      </c>
      <c r="M61" s="14">
        <f t="shared" si="20"/>
        <v>0.23133333333333325</v>
      </c>
      <c r="N61" s="14">
        <f t="shared" si="20"/>
        <v>0.23133333333333334</v>
      </c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59" t="s">
        <v>117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</row>
    <row r="64" spans="1:1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</row>
  </sheetData>
  <mergeCells count="2">
    <mergeCell ref="A1:N1"/>
    <mergeCell ref="A63:N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abSelected="1" topLeftCell="D16" workbookViewId="0">
      <selection activeCell="F7" sqref="F7"/>
    </sheetView>
  </sheetViews>
  <sheetFormatPr defaultRowHeight="14.25"/>
  <cols>
    <col min="1" max="1" width="38" customWidth="1"/>
    <col min="2" max="3" width="17" customWidth="1"/>
    <col min="4" max="4" width="16" customWidth="1"/>
    <col min="5" max="5" width="28" customWidth="1"/>
    <col min="6" max="7" width="18" customWidth="1"/>
    <col min="8" max="9" width="16" customWidth="1"/>
    <col min="10" max="14" width="12" customWidth="1"/>
  </cols>
  <sheetData>
    <row r="1" spans="1:14" ht="27.95" customHeight="1">
      <c r="A1" s="60" t="s">
        <v>118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20.100000000000001" customHeight="1">
      <c r="A2" s="61" t="s">
        <v>119</v>
      </c>
      <c r="B2" s="61"/>
      <c r="C2" s="61"/>
      <c r="D2" s="61"/>
      <c r="E2" s="61"/>
      <c r="F2" s="61"/>
      <c r="G2" s="61" t="s">
        <v>120</v>
      </c>
      <c r="H2" s="61"/>
      <c r="I2" s="61"/>
      <c r="J2" s="1"/>
      <c r="K2" s="1"/>
      <c r="L2" s="1"/>
      <c r="M2" s="1"/>
      <c r="N2" s="1"/>
    </row>
    <row r="3" spans="1:14" ht="15">
      <c r="A3" s="27" t="s">
        <v>19</v>
      </c>
      <c r="B3" s="27" t="s">
        <v>20</v>
      </c>
      <c r="C3" s="27" t="s">
        <v>121</v>
      </c>
      <c r="D3" s="27" t="s">
        <v>122</v>
      </c>
      <c r="E3" s="27" t="s">
        <v>123</v>
      </c>
      <c r="F3" s="1"/>
      <c r="G3" s="41" t="s">
        <v>124</v>
      </c>
      <c r="H3" s="41" t="s">
        <v>20</v>
      </c>
      <c r="I3" s="41" t="s">
        <v>121</v>
      </c>
      <c r="J3" s="1"/>
      <c r="K3" s="1"/>
      <c r="L3" s="1"/>
      <c r="M3" s="1"/>
      <c r="N3" s="1"/>
    </row>
    <row r="4" spans="1:14">
      <c r="A4" s="28" t="s">
        <v>125</v>
      </c>
      <c r="B4" s="29">
        <v>0.03</v>
      </c>
      <c r="C4" s="30">
        <f>Assumptions!B14</f>
        <v>0.01</v>
      </c>
      <c r="D4" s="45">
        <f>C4-B4</f>
        <v>-1.9999999999999997E-2</v>
      </c>
      <c r="E4" s="28" t="s">
        <v>126</v>
      </c>
      <c r="F4" s="1"/>
      <c r="G4" s="1" t="s">
        <v>127</v>
      </c>
      <c r="H4" s="42">
        <v>263248.15049999999</v>
      </c>
      <c r="I4" s="43">
        <f>'Pro Forma P&amp;L'!N18</f>
        <v>87749.383499999996</v>
      </c>
      <c r="J4" s="1"/>
      <c r="K4" s="1"/>
      <c r="L4" s="1"/>
      <c r="M4" s="1"/>
      <c r="N4" s="1"/>
    </row>
    <row r="5" spans="1:14">
      <c r="A5" s="28" t="s">
        <v>57</v>
      </c>
      <c r="B5" s="29">
        <v>0.08</v>
      </c>
      <c r="C5" s="30">
        <f>Assumptions!B23</f>
        <v>0.09</v>
      </c>
      <c r="D5" s="45">
        <f>C5-B5</f>
        <v>9.999999999999995E-3</v>
      </c>
      <c r="E5" s="28" t="s">
        <v>128</v>
      </c>
      <c r="F5" s="1"/>
      <c r="G5" s="1" t="s">
        <v>129</v>
      </c>
      <c r="H5" s="42">
        <v>1052992.602</v>
      </c>
      <c r="I5" s="43">
        <f>'Pro Forma P&amp;L'!N47</f>
        <v>1184616.6772499997</v>
      </c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>
      <c r="A7" s="64" t="s">
        <v>130</v>
      </c>
      <c r="B7" s="64"/>
      <c r="C7" s="64"/>
      <c r="D7" s="64"/>
      <c r="E7" s="64"/>
      <c r="F7" s="63"/>
      <c r="G7" s="1"/>
      <c r="H7" s="1"/>
      <c r="I7" s="1"/>
      <c r="J7" s="1"/>
      <c r="K7" s="1"/>
      <c r="L7" s="1"/>
      <c r="M7" s="1"/>
      <c r="N7" s="1"/>
    </row>
    <row r="8" spans="1:14" ht="15">
      <c r="A8" s="27" t="s">
        <v>131</v>
      </c>
      <c r="B8" s="27" t="s">
        <v>20</v>
      </c>
      <c r="C8" s="27" t="s">
        <v>121</v>
      </c>
      <c r="D8" s="27" t="s">
        <v>132</v>
      </c>
      <c r="E8" s="27" t="s">
        <v>133</v>
      </c>
      <c r="F8" s="1"/>
      <c r="G8" s="1"/>
      <c r="H8" s="1"/>
      <c r="I8" s="1"/>
      <c r="J8" s="1"/>
      <c r="K8" s="1"/>
      <c r="L8" s="1"/>
      <c r="M8" s="1"/>
      <c r="N8" s="1"/>
    </row>
    <row r="9" spans="1:14">
      <c r="A9" s="31" t="s">
        <v>127</v>
      </c>
      <c r="B9" s="32">
        <v>263248.15049999999</v>
      </c>
      <c r="C9" s="33">
        <f>'Pro Forma P&amp;L'!N18</f>
        <v>87749.383499999996</v>
      </c>
      <c r="D9" s="50">
        <f t="shared" ref="D9:D18" si="0">C9-B9</f>
        <v>-175498.76699999999</v>
      </c>
      <c r="E9" s="51">
        <f t="shared" ref="E9:E14" si="1">IF(B9=0,"",D9/ABS(B9))</f>
        <v>-0.66666666666666663</v>
      </c>
      <c r="F9" s="1"/>
      <c r="G9" s="1"/>
      <c r="H9" s="1"/>
      <c r="I9" s="1"/>
      <c r="J9" s="1"/>
      <c r="K9" s="1"/>
      <c r="L9" s="1"/>
      <c r="M9" s="1"/>
      <c r="N9" s="1"/>
    </row>
    <row r="10" spans="1:14">
      <c r="A10" s="31" t="s">
        <v>87</v>
      </c>
      <c r="B10" s="32">
        <v>6756702.5295000002</v>
      </c>
      <c r="C10" s="33">
        <f>'Pro Forma P&amp;L'!N21</f>
        <v>6932201.2964999992</v>
      </c>
      <c r="D10" s="50">
        <f t="shared" si="0"/>
        <v>175498.76699999906</v>
      </c>
      <c r="E10" s="51">
        <f t="shared" si="1"/>
        <v>2.5974025974025833E-2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31" t="s">
        <v>105</v>
      </c>
      <c r="B11" s="32">
        <v>1052992.602</v>
      </c>
      <c r="C11" s="33">
        <f>'Pro Forma P&amp;L'!N47</f>
        <v>1184616.6772499997</v>
      </c>
      <c r="D11" s="50">
        <f t="shared" si="0"/>
        <v>131624.07524999976</v>
      </c>
      <c r="E11" s="51">
        <f t="shared" si="1"/>
        <v>0.12499999999999978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31" t="s">
        <v>99</v>
      </c>
      <c r="B12" s="32">
        <v>5286900.3558749994</v>
      </c>
      <c r="C12" s="33">
        <f>'Pro Forma P&amp;L'!N40</f>
        <v>5111401.5888750013</v>
      </c>
      <c r="D12" s="50">
        <f t="shared" si="0"/>
        <v>-175498.76699999813</v>
      </c>
      <c r="E12" s="51">
        <f t="shared" si="1"/>
        <v>-3.319502074688762E-2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31" t="s">
        <v>108</v>
      </c>
      <c r="B13" s="32">
        <v>3751286.1446250002</v>
      </c>
      <c r="C13" s="33">
        <f>'Pro Forma P&amp;L'!N50</f>
        <v>3882910.219875</v>
      </c>
      <c r="D13" s="50">
        <f t="shared" si="0"/>
        <v>131624.07524999976</v>
      </c>
      <c r="E13" s="51">
        <f t="shared" si="1"/>
        <v>3.508771929824555E-2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15">
      <c r="A14" s="35" t="s">
        <v>134</v>
      </c>
      <c r="B14" s="36">
        <v>4124221.0244999998</v>
      </c>
      <c r="C14" s="37">
        <f>'Pro Forma P&amp;L'!N52</f>
        <v>4168095.7162500001</v>
      </c>
      <c r="D14" s="52">
        <f t="shared" si="0"/>
        <v>43874.691750000231</v>
      </c>
      <c r="E14" s="53">
        <f t="shared" si="1"/>
        <v>1.0638297872340483E-2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5">
      <c r="A15" s="35" t="s">
        <v>110</v>
      </c>
      <c r="B15" s="46">
        <v>0.3133333333333333</v>
      </c>
      <c r="C15" s="47">
        <f>'Pro Forma P&amp;L'!N53</f>
        <v>0.31666666666666665</v>
      </c>
      <c r="D15" s="53">
        <f t="shared" si="0"/>
        <v>3.3333333333333548E-3</v>
      </c>
      <c r="E15" s="53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31" t="s">
        <v>113</v>
      </c>
      <c r="B16" s="32">
        <v>329937.68196000002</v>
      </c>
      <c r="C16" s="33">
        <f>'Pro Forma P&amp;L'!N57</f>
        <v>333447.65730000002</v>
      </c>
      <c r="D16" s="50">
        <f t="shared" si="0"/>
        <v>3509.9753400000045</v>
      </c>
      <c r="E16" s="51">
        <f>IF(B16=0,"",D16/ABS(B16))</f>
        <v>1.0638297872340439E-2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15">
      <c r="A17" s="38" t="s">
        <v>135</v>
      </c>
      <c r="B17" s="39">
        <v>3004538.8910399997</v>
      </c>
      <c r="C17" s="40">
        <f>'Pro Forma P&amp;L'!N60</f>
        <v>3044903.60745</v>
      </c>
      <c r="D17" s="54">
        <f t="shared" si="0"/>
        <v>40364.716410000343</v>
      </c>
      <c r="E17" s="55">
        <f>IF(B17=0,"",D17/ABS(B17))</f>
        <v>1.3434579439252452E-2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ht="15">
      <c r="A18" s="38" t="s">
        <v>116</v>
      </c>
      <c r="B18" s="48">
        <v>0.22826666666666665</v>
      </c>
      <c r="C18" s="49">
        <f>'Pro Forma P&amp;L'!N61</f>
        <v>0.23133333333333334</v>
      </c>
      <c r="D18" s="55">
        <f t="shared" si="0"/>
        <v>3.0666666666666897E-3</v>
      </c>
      <c r="E18" s="55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">
      <c r="A21" s="61" t="s">
        <v>136</v>
      </c>
      <c r="B21" s="61"/>
      <c r="C21" s="61"/>
      <c r="D21" s="61"/>
      <c r="E21" s="61"/>
      <c r="F21" s="61"/>
      <c r="G21" s="61"/>
      <c r="H21" s="1"/>
      <c r="I21" s="1"/>
      <c r="J21" s="1"/>
      <c r="K21" s="1"/>
      <c r="L21" s="1"/>
      <c r="M21" s="1"/>
      <c r="N21" s="1"/>
    </row>
    <row r="22" spans="1:14" ht="15">
      <c r="A22" s="44" t="s">
        <v>137</v>
      </c>
      <c r="B22" s="44" t="s">
        <v>138</v>
      </c>
      <c r="C22" s="44" t="s">
        <v>139</v>
      </c>
      <c r="D22" s="44" t="s">
        <v>140</v>
      </c>
      <c r="E22" s="44" t="s">
        <v>141</v>
      </c>
      <c r="F22" s="44" t="s">
        <v>142</v>
      </c>
      <c r="G22" s="44" t="s">
        <v>143</v>
      </c>
      <c r="H22" s="1"/>
      <c r="I22" s="1"/>
      <c r="J22" s="1"/>
      <c r="K22" s="1"/>
      <c r="L22" s="1"/>
      <c r="M22" s="1"/>
      <c r="N22" s="1"/>
    </row>
    <row r="23" spans="1:14">
      <c r="A23" s="31" t="s">
        <v>2</v>
      </c>
      <c r="B23" s="32">
        <v>426780.5625</v>
      </c>
      <c r="C23" s="33">
        <f>'Pro Forma P&amp;L'!B52</f>
        <v>431320.78125</v>
      </c>
      <c r="D23" s="50">
        <f t="shared" ref="D23:D34" si="2">C23-B23</f>
        <v>4540.21875</v>
      </c>
      <c r="E23" s="34">
        <v>310914.18</v>
      </c>
      <c r="F23" s="34">
        <f>'Pro Forma P&amp;L'!B60</f>
        <v>315091.18125000002</v>
      </c>
      <c r="G23" s="50">
        <f t="shared" ref="G23:G34" si="3">F23-E23</f>
        <v>4177.0012500000303</v>
      </c>
      <c r="H23" s="1"/>
      <c r="I23" s="1"/>
      <c r="J23" s="1"/>
      <c r="K23" s="1"/>
      <c r="L23" s="1"/>
      <c r="M23" s="1"/>
      <c r="N23" s="1"/>
    </row>
    <row r="24" spans="1:14" ht="30" customHeight="1">
      <c r="A24" s="31" t="s">
        <v>3</v>
      </c>
      <c r="B24" s="32">
        <v>402262.84800000006</v>
      </c>
      <c r="C24" s="33">
        <f>'Pro Forma P&amp;L'!C52</f>
        <v>406542.24000000005</v>
      </c>
      <c r="D24" s="50">
        <f t="shared" si="2"/>
        <v>4279.3919999999925</v>
      </c>
      <c r="E24" s="34">
        <v>293052.76416000002</v>
      </c>
      <c r="F24" s="34">
        <f>'Pro Forma P&amp;L'!C60</f>
        <v>296989.80479999998</v>
      </c>
      <c r="G24" s="50">
        <f t="shared" si="3"/>
        <v>3937.0406399999629</v>
      </c>
      <c r="H24" s="1"/>
      <c r="I24" s="1"/>
      <c r="J24" s="1"/>
      <c r="K24" s="1"/>
      <c r="L24" s="1"/>
      <c r="M24" s="1"/>
      <c r="N24" s="1"/>
    </row>
    <row r="25" spans="1:14">
      <c r="A25" s="31" t="s">
        <v>4</v>
      </c>
      <c r="B25" s="32">
        <v>341423.18100000004</v>
      </c>
      <c r="C25" s="33">
        <f>'Pro Forma P&amp;L'!D52</f>
        <v>345055.34250000003</v>
      </c>
      <c r="D25" s="50">
        <f t="shared" si="2"/>
        <v>3632.1614999999874</v>
      </c>
      <c r="E25" s="34">
        <v>248730.41952000005</v>
      </c>
      <c r="F25" s="34">
        <f>'Pro Forma P&amp;L'!D60</f>
        <v>252072.00810000004</v>
      </c>
      <c r="G25" s="50">
        <f t="shared" si="3"/>
        <v>3341.5885799999814</v>
      </c>
      <c r="H25" s="1"/>
      <c r="I25" s="1"/>
      <c r="J25" s="1"/>
      <c r="K25" s="1"/>
      <c r="L25" s="1"/>
      <c r="M25" s="1"/>
      <c r="N25" s="1"/>
    </row>
    <row r="26" spans="1:14">
      <c r="A26" s="31" t="s">
        <v>5</v>
      </c>
      <c r="B26" s="32">
        <v>324457.91999999993</v>
      </c>
      <c r="C26" s="33">
        <f>'Pro Forma P&amp;L'!E52</f>
        <v>327909.60000000003</v>
      </c>
      <c r="D26" s="50">
        <f t="shared" si="2"/>
        <v>3451.6800000001094</v>
      </c>
      <c r="E26" s="34">
        <v>236371.0463999999</v>
      </c>
      <c r="F26" s="34">
        <f>'Pro Forma P&amp;L'!E60</f>
        <v>239546.59200000003</v>
      </c>
      <c r="G26" s="50">
        <f t="shared" si="3"/>
        <v>3175.5456000001286</v>
      </c>
      <c r="H26" s="1"/>
      <c r="I26" s="1"/>
      <c r="J26" s="1"/>
      <c r="K26" s="1"/>
      <c r="L26" s="1"/>
      <c r="M26" s="1"/>
      <c r="N26" s="1"/>
    </row>
    <row r="27" spans="1:14">
      <c r="A27" s="31" t="s">
        <v>6</v>
      </c>
      <c r="B27" s="32">
        <v>242098.97399999999</v>
      </c>
      <c r="C27" s="33">
        <f>'Pro Forma P&amp;L'!F52</f>
        <v>244674.49500000005</v>
      </c>
      <c r="D27" s="50">
        <f t="shared" si="2"/>
        <v>2575.5210000000661</v>
      </c>
      <c r="E27" s="34">
        <v>176371.67807999998</v>
      </c>
      <c r="F27" s="34">
        <f>'Pro Forma P&amp;L'!F60</f>
        <v>178741.15740000005</v>
      </c>
      <c r="G27" s="50">
        <f t="shared" si="3"/>
        <v>2369.4793200000713</v>
      </c>
      <c r="H27" s="1"/>
      <c r="I27" s="1"/>
      <c r="J27" s="1"/>
      <c r="K27" s="1"/>
      <c r="L27" s="1"/>
      <c r="M27" s="1"/>
      <c r="N27" s="1"/>
    </row>
    <row r="28" spans="1:14">
      <c r="A28" s="31" t="s">
        <v>7</v>
      </c>
      <c r="B28" s="32">
        <v>314318.61</v>
      </c>
      <c r="C28" s="33">
        <f>'Pro Forma P&amp;L'!G52</f>
        <v>317662.42499999999</v>
      </c>
      <c r="D28" s="50">
        <f t="shared" si="2"/>
        <v>3343.8150000000023</v>
      </c>
      <c r="E28" s="34">
        <v>228984.45119999998</v>
      </c>
      <c r="F28" s="34">
        <f>'Pro Forma P&amp;L'!G60</f>
        <v>232060.76099999997</v>
      </c>
      <c r="G28" s="50">
        <f t="shared" si="3"/>
        <v>3076.3097999999882</v>
      </c>
      <c r="H28" s="1"/>
      <c r="I28" s="1"/>
      <c r="J28" s="1"/>
      <c r="K28" s="1"/>
      <c r="L28" s="1"/>
      <c r="M28" s="1"/>
      <c r="N28" s="1"/>
    </row>
    <row r="29" spans="1:14">
      <c r="A29" s="31" t="s">
        <v>8</v>
      </c>
      <c r="B29" s="32">
        <v>426780.5625</v>
      </c>
      <c r="C29" s="33">
        <f>'Pro Forma P&amp;L'!H52</f>
        <v>431320.78125</v>
      </c>
      <c r="D29" s="50">
        <f t="shared" si="2"/>
        <v>4540.21875</v>
      </c>
      <c r="E29" s="34">
        <v>310914.18</v>
      </c>
      <c r="F29" s="34">
        <f>'Pro Forma P&amp;L'!H60</f>
        <v>315091.18125000002</v>
      </c>
      <c r="G29" s="50">
        <f t="shared" si="3"/>
        <v>4177.0012500000303</v>
      </c>
      <c r="H29" s="1"/>
      <c r="I29" s="1"/>
      <c r="J29" s="1"/>
      <c r="K29" s="1"/>
      <c r="L29" s="1"/>
      <c r="M29" s="1"/>
      <c r="N29" s="1"/>
    </row>
    <row r="30" spans="1:14">
      <c r="A30" s="31" t="s">
        <v>9</v>
      </c>
      <c r="B30" s="32">
        <v>407849.83199999999</v>
      </c>
      <c r="C30" s="33">
        <f>'Pro Forma P&amp;L'!I52</f>
        <v>412188.66000000003</v>
      </c>
      <c r="D30" s="50">
        <f t="shared" si="2"/>
        <v>4338.8280000000377</v>
      </c>
      <c r="E30" s="34">
        <v>297122.94144000002</v>
      </c>
      <c r="F30" s="34">
        <f>'Pro Forma P&amp;L'!I60</f>
        <v>301114.66320000007</v>
      </c>
      <c r="G30" s="50">
        <f t="shared" si="3"/>
        <v>3991.721760000044</v>
      </c>
      <c r="H30" s="1"/>
      <c r="I30" s="1"/>
      <c r="J30" s="1"/>
      <c r="K30" s="1"/>
      <c r="L30" s="1"/>
      <c r="M30" s="1"/>
      <c r="N30" s="1"/>
    </row>
    <row r="31" spans="1:14">
      <c r="A31" s="31" t="s">
        <v>10</v>
      </c>
      <c r="B31" s="32">
        <v>242098.97399999999</v>
      </c>
      <c r="C31" s="33">
        <f>'Pro Forma P&amp;L'!J52</f>
        <v>244674.49500000005</v>
      </c>
      <c r="D31" s="50">
        <f t="shared" si="2"/>
        <v>2575.5210000000661</v>
      </c>
      <c r="E31" s="34">
        <v>176371.67807999998</v>
      </c>
      <c r="F31" s="34">
        <f>'Pro Forma P&amp;L'!J60</f>
        <v>178741.15740000005</v>
      </c>
      <c r="G31" s="50">
        <f t="shared" si="3"/>
        <v>2369.4793200000713</v>
      </c>
      <c r="H31" s="1"/>
      <c r="I31" s="1"/>
      <c r="J31" s="1"/>
      <c r="K31" s="1"/>
      <c r="L31" s="1"/>
      <c r="M31" s="1"/>
      <c r="N31" s="1"/>
    </row>
    <row r="32" spans="1:14">
      <c r="A32" s="31" t="s">
        <v>11</v>
      </c>
      <c r="B32" s="32">
        <v>261766.14750000002</v>
      </c>
      <c r="C32" s="33">
        <f>'Pro Forma P&amp;L'!K52</f>
        <v>264550.89375000005</v>
      </c>
      <c r="D32" s="50">
        <f t="shared" si="2"/>
        <v>2784.7462500000256</v>
      </c>
      <c r="E32" s="34">
        <v>190699.42320000002</v>
      </c>
      <c r="F32" s="34">
        <f>'Pro Forma P&amp;L'!K60</f>
        <v>193261.38975000003</v>
      </c>
      <c r="G32" s="50">
        <f t="shared" si="3"/>
        <v>2561.9665500000119</v>
      </c>
      <c r="H32" s="1"/>
      <c r="I32" s="1"/>
      <c r="J32" s="1"/>
      <c r="K32" s="1"/>
      <c r="L32" s="1"/>
      <c r="M32" s="1"/>
      <c r="N32" s="1"/>
    </row>
    <row r="33" spans="1:14">
      <c r="A33" s="31" t="s">
        <v>12</v>
      </c>
      <c r="B33" s="32">
        <v>358816.51799999998</v>
      </c>
      <c r="C33" s="33">
        <f>'Pro Forma P&amp;L'!L52</f>
        <v>362633.71500000003</v>
      </c>
      <c r="D33" s="50">
        <f t="shared" si="2"/>
        <v>3817.1970000000438</v>
      </c>
      <c r="E33" s="34">
        <v>261401.65056000004</v>
      </c>
      <c r="F33" s="34">
        <f>'Pro Forma P&amp;L'!L60</f>
        <v>264913.47180000006</v>
      </c>
      <c r="G33" s="50">
        <f t="shared" si="3"/>
        <v>3511.8212400000193</v>
      </c>
      <c r="H33" s="1"/>
      <c r="I33" s="1"/>
      <c r="J33" s="1"/>
      <c r="K33" s="1"/>
      <c r="L33" s="1"/>
      <c r="M33" s="1"/>
      <c r="N33" s="1"/>
    </row>
    <row r="34" spans="1:14">
      <c r="A34" s="31" t="s">
        <v>13</v>
      </c>
      <c r="B34" s="32">
        <v>375566.89499999996</v>
      </c>
      <c r="C34" s="33">
        <f>'Pro Forma P&amp;L'!M52</f>
        <v>379562.28749999992</v>
      </c>
      <c r="D34" s="50">
        <f t="shared" si="2"/>
        <v>3995.3924999999581</v>
      </c>
      <c r="E34" s="34">
        <v>273604.47839999996</v>
      </c>
      <c r="F34" s="34">
        <f>'Pro Forma P&amp;L'!M60</f>
        <v>277280.23949999991</v>
      </c>
      <c r="G34" s="50">
        <f t="shared" si="3"/>
        <v>3675.7610999999451</v>
      </c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</row>
  </sheetData>
  <mergeCells count="5">
    <mergeCell ref="A21:G21"/>
    <mergeCell ref="A7:E7"/>
    <mergeCell ref="A1:N1"/>
    <mergeCell ref="A2:F2"/>
    <mergeCell ref="G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Pro Forma P&amp;L</vt:lpstr>
      <vt:lpstr>Scenario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Ngân</cp:lastModifiedBy>
  <dcterms:modified xsi:type="dcterms:W3CDTF">2026-10-07T00:49:20Z</dcterms:modified>
</cp:coreProperties>
</file>